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Работы" sheetId="2" state="visible" r:id="rId4"/>
    <sheet name="Сверка" sheetId="3" state="visible" r:id="rId5"/>
    <sheet name="Словарь" sheetId="4" state="visible" r:id="rId6"/>
  </sheets>
  <definedNames>
    <definedName function="false" hidden="true" localSheetId="1" name="_xlnm._FilterDatabase" vbProcedure="false">Работы!$A$1:$U$450</definedName>
    <definedName function="false" hidden="true" localSheetId="2" name="_xlnm._FilterDatabase" vbProcedure="false">Сверка!$A$1:$G$32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<sst xmlns="http://schemas.openxmlformats.org/spreadsheetml/2006/main" count="5839" uniqueCount="1161">
  <si>
    <t xml:space="preserve">Сводный трекер текущего ремонта</t>
  </si>
  <si>
    <t xml:space="preserve">Сведено 27.10.2026 из трёх выгрузок: годовой план ПТО от 26.10.2026, файл исполнителей от 08.10.2026 с пополнениями от 16.10.2026, Битрикс24 от 27.10.2026. Отметки прежних снимков не используются. Все цифры считаются формулами по листу «Работы», просрочка — на сегодняшнюю дату. Стадии и проблемы — те же, что на странице трекера.</t>
  </si>
  <si>
    <t xml:space="preserve">Где мы сейчас — работы плана по стадиям</t>
  </si>
  <si>
    <t xml:space="preserve">Стадии идут по ходу работы: не начато → в работе → выполнено, ждёт акта → принято с актом. «Отложено на зиму» и «Нужно решение» — вне хода. Снятые с плана в проценты не входят.</t>
  </si>
  <si>
    <t xml:space="preserve">Стадия</t>
  </si>
  <si>
    <t xml:space="preserve">Работ</t>
  </si>
  <si>
    <t xml:space="preserve">% плана</t>
  </si>
  <si>
    <t xml:space="preserve">Из них с проблемой</t>
  </si>
  <si>
    <t xml:space="preserve">Какая проблема</t>
  </si>
  <si>
    <t xml:space="preserve">Что значит стадия</t>
  </si>
  <si>
    <t xml:space="preserve">Не начато</t>
  </si>
  <si>
    <t xml:space="preserve">месяц плана прошёл</t>
  </si>
  <si>
    <t xml:space="preserve">Работа ещё не начата: «Не начато», «Передано исполнителю»</t>
  </si>
  <si>
    <t xml:space="preserve">В работе</t>
  </si>
  <si>
    <t xml:space="preserve">дольше плана: месяц плана прошёл</t>
  </si>
  <si>
    <t xml:space="preserve">Идёт работа: «В работе», «На контроле», «Материал заказан»</t>
  </si>
  <si>
    <t xml:space="preserve">Выполнено, ждёт акта</t>
  </si>
  <si>
    <t xml:space="preserve">акт задерживается: месяц плана прошёл</t>
  </si>
  <si>
    <t xml:space="preserve">Исполнитель сделал работу, акт ещё не подписан</t>
  </si>
  <si>
    <t xml:space="preserve">Принято с актом</t>
  </si>
  <si>
    <t xml:space="preserve">—</t>
  </si>
  <si>
    <t xml:space="preserve">Работа закрыта актом</t>
  </si>
  <si>
    <t xml:space="preserve">Отложено на зиму</t>
  </si>
  <si>
    <t xml:space="preserve">Перенесено на тёплый сезон</t>
  </si>
  <si>
    <t xml:space="preserve">Нужно решение</t>
  </si>
  <si>
    <t xml:space="preserve">Работа стоит: «Нужно решение», «Требует уточнения», «Нет статуса», «Голосование ОСС»</t>
  </si>
  <si>
    <t xml:space="preserve">Итого в плане</t>
  </si>
  <si>
    <t xml:space="preserve">просрочено всего</t>
  </si>
  <si>
    <t xml:space="preserve">Месяц плана прошёл, а работа не начата, в работе или стоит</t>
  </si>
  <si>
    <t xml:space="preserve">Снято с плана</t>
  </si>
  <si>
    <t xml:space="preserve">В проценты не входит</t>
  </si>
  <si>
    <t xml:space="preserve">Итоги</t>
  </si>
  <si>
    <t xml:space="preserve">Значение</t>
  </si>
  <si>
    <t xml:space="preserve">Выполнено: ждёт акта + принято с актом</t>
  </si>
  <si>
    <t xml:space="preserve">Оценка плана, ₽</t>
  </si>
  <si>
    <t xml:space="preserve">Факт, ₽</t>
  </si>
  <si>
    <t xml:space="preserve">Работ без оценки</t>
  </si>
  <si>
    <t xml:space="preserve">Где проблемы — по важности</t>
  </si>
  <si>
    <t xml:space="preserve">Красное срывает сроки, жёлтое копится, серое — порядок в данных. Сами работы — фильтром на листе «Работы» (столбец справа подсказывает, по каким столбцам).</t>
  </si>
  <si>
    <t xml:space="preserve">Проблема</t>
  </si>
  <si>
    <t xml:space="preserve">Важность</t>
  </si>
  <si>
    <t xml:space="preserve">Кто решает</t>
  </si>
  <si>
    <t xml:space="preserve">Как найти на листе «Работы»</t>
  </si>
  <si>
    <t xml:space="preserve">Не начаты, хотя месяц плана прошёл</t>
  </si>
  <si>
    <t xml:space="preserve">срывает сроки</t>
  </si>
  <si>
    <t xml:space="preserve">Исполнитель и ПТО: начать или перенести срок</t>
  </si>
  <si>
    <t xml:space="preserve">Стадия «Не начато», «Просрочено, дней» больше 0</t>
  </si>
  <si>
    <t xml:space="preserve">В работе дольше плана</t>
  </si>
  <si>
    <t xml:space="preserve">Мастер: дата завершения и что мешает</t>
  </si>
  <si>
    <t xml:space="preserve">Стадия «В работе», «Просрочено, дней» больше 0</t>
  </si>
  <si>
    <t xml:space="preserve">Работа стоит — нужно решение</t>
  </si>
  <si>
    <t xml:space="preserve">Руководство и ПТО: решить или снять с плана</t>
  </si>
  <si>
    <t xml:space="preserve">Стадия «Нужно решение»</t>
  </si>
  <si>
    <t xml:space="preserve">Выполнены, но нет акта с прошлых месяцев</t>
  </si>
  <si>
    <t xml:space="preserve">копится</t>
  </si>
  <si>
    <t xml:space="preserve">ПТО: оформить и подписать акты</t>
  </si>
  <si>
    <t xml:space="preserve">Стадия «Выполнено, ждёт акта», месяц плана прошёл</t>
  </si>
  <si>
    <t xml:space="preserve">Открытые работы без мастера участка</t>
  </si>
  <si>
    <t xml:space="preserve">Назначить ответственного мастера</t>
  </si>
  <si>
    <t xml:space="preserve">Мастер «(не назначен)», стадия не начато, в работе или нужно решение</t>
  </si>
  <si>
    <t xml:space="preserve">Открытые работы без исполнителя</t>
  </si>
  <si>
    <t xml:space="preserve">ПТО: решить, УК или подрядчик</t>
  </si>
  <si>
    <t xml:space="preserve">Исполнитель «Не распределено», стадия не начато, в работе или нужно решение</t>
  </si>
  <si>
    <t xml:space="preserve">Расходятся план, файл исполнителей и Битрикс24</t>
  </si>
  <si>
    <t xml:space="preserve">порядок в данных</t>
  </si>
  <si>
    <t xml:space="preserve">Администратор: сверить источники</t>
  </si>
  <si>
    <t xml:space="preserve">Столбец «Сверить» не пустой; список — на листе «Сверка»</t>
  </si>
  <si>
    <t xml:space="preserve">Выполнено, а в Битрикс24 стадия «Запланировано»</t>
  </si>
  <si>
    <t xml:space="preserve">Ответственный за Битрикс24: обновить стадии</t>
  </si>
  <si>
    <t xml:space="preserve">«Стадия Битрикс24» — «Запланировано», стадия выполнено или принято</t>
  </si>
  <si>
    <t xml:space="preserve">По месяцам плана</t>
  </si>
  <si>
    <t xml:space="preserve">«Просрочен» — месяц закончился, а работы не сделаны. «Без акта» — всё сделано, но не все акты оформлены. «Закрыт» — всё принято с актом.</t>
  </si>
  <si>
    <t xml:space="preserve">Месяц плана</t>
  </si>
  <si>
    <t xml:space="preserve">В плане</t>
  </si>
  <si>
    <t xml:space="preserve">Ждёт акта</t>
  </si>
  <si>
    <t xml:space="preserve">Принято</t>
  </si>
  <si>
    <t xml:space="preserve">На зиму</t>
  </si>
  <si>
    <t xml:space="preserve">Просрочено</t>
  </si>
  <si>
    <t xml:space="preserve">% выполнено</t>
  </si>
  <si>
    <t xml:space="preserve">% принято с актом</t>
  </si>
  <si>
    <t xml:space="preserve">Состояние месяца</t>
  </si>
  <si>
    <t xml:space="preserve">Февраль 2026</t>
  </si>
  <si>
    <t xml:space="preserve">Март 2026</t>
  </si>
  <si>
    <t xml:space="preserve">Апрель 2026</t>
  </si>
  <si>
    <t xml:space="preserve">Май 2026</t>
  </si>
  <si>
    <t xml:space="preserve">Июнь 2026</t>
  </si>
  <si>
    <t xml:space="preserve">Июль 2026</t>
  </si>
  <si>
    <t xml:space="preserve">Август 2026</t>
  </si>
  <si>
    <t xml:space="preserve">Сентябрь 2026</t>
  </si>
  <si>
    <t xml:space="preserve">Октябрь 2026</t>
  </si>
  <si>
    <t xml:space="preserve">Ноябрь 2026</t>
  </si>
  <si>
    <t xml:space="preserve">Декабрь 2026</t>
  </si>
  <si>
    <t xml:space="preserve">Кто отстаёт: исполнители</t>
  </si>
  <si>
    <t xml:space="preserve">Сначала — у кого больше просроченных работ (на дату сведения).</t>
  </si>
  <si>
    <t xml:space="preserve">Исполнитель</t>
  </si>
  <si>
    <t xml:space="preserve">Подрядчики</t>
  </si>
  <si>
    <t xml:space="preserve">УК</t>
  </si>
  <si>
    <t xml:space="preserve">Не распределено</t>
  </si>
  <si>
    <t xml:space="preserve">Кто отстаёт: мастера участков</t>
  </si>
  <si>
    <t xml:space="preserve">Мастер участка</t>
  </si>
  <si>
    <t xml:space="preserve">(не назначен)</t>
  </si>
  <si>
    <t xml:space="preserve">Зеленцов А.В.</t>
  </si>
  <si>
    <t xml:space="preserve">Гайдуков А.В.</t>
  </si>
  <si>
    <t xml:space="preserve">Шарафутдинов Р.Р.</t>
  </si>
  <si>
    <t xml:space="preserve">Сандюк Ю.В.</t>
  </si>
  <si>
    <t xml:space="preserve">Алиев Р.Р.</t>
  </si>
  <si>
    <t xml:space="preserve">Евграфов С.В.</t>
  </si>
  <si>
    <t xml:space="preserve">Вазюков В.С.</t>
  </si>
  <si>
    <t xml:space="preserve">Мастер участка (Север)</t>
  </si>
  <si>
    <t xml:space="preserve">Наумова Т.Ю.</t>
  </si>
  <si>
    <t xml:space="preserve">Кто отстаёт: управляющие компании</t>
  </si>
  <si>
    <t xml:space="preserve">Управляющая компания</t>
  </si>
  <si>
    <t xml:space="preserve">УК «СВ»</t>
  </si>
  <si>
    <t xml:space="preserve">УК «Союз»</t>
  </si>
  <si>
    <t xml:space="preserve">УК «Домовой»</t>
  </si>
  <si>
    <t xml:space="preserve">ТСЖ «Звезда»</t>
  </si>
  <si>
    <t xml:space="preserve">УК «Домок»</t>
  </si>
  <si>
    <t xml:space="preserve">УК МИДЕ</t>
  </si>
  <si>
    <t xml:space="preserve">«В плане» — без снятых работ. «Просрочено» — работа не начата, в работе или стоит, а месяц плана закончился; считается от сегодняшней даты. «% выполнено» = (ждёт акта + принято с актом) / в плане.</t>
  </si>
  <si>
    <t xml:space="preserve">№</t>
  </si>
  <si>
    <t xml:space="preserve">Срок (конец месяца)</t>
  </si>
  <si>
    <t xml:space="preserve">Адрес</t>
  </si>
  <si>
    <t xml:space="preserve">Работа</t>
  </si>
  <si>
    <t xml:space="preserve">Вид работ</t>
  </si>
  <si>
    <t xml:space="preserve">Основание</t>
  </si>
  <si>
    <t xml:space="preserve">Оценка, ₽</t>
  </si>
  <si>
    <t xml:space="preserve">Статус</t>
  </si>
  <si>
    <t xml:space="preserve">Акт</t>
  </si>
  <si>
    <t xml:space="preserve">Просрочено, дней</t>
  </si>
  <si>
    <t xml:space="preserve">Стадия Битрикс24</t>
  </si>
  <si>
    <t xml:space="preserve">Сроки Битрикс24</t>
  </si>
  <si>
    <t xml:space="preserve">Сверить</t>
  </si>
  <si>
    <t xml:space="preserve">Источники статуса</t>
  </si>
  <si>
    <t xml:space="preserve">Строка годового плана</t>
  </si>
  <si>
    <t xml:space="preserve">Аблукова ул, 83</t>
  </si>
  <si>
    <t xml:space="preserve">Установка ТРЖ, 6 шт.</t>
  </si>
  <si>
    <t xml:space="preserve">ТРЖ</t>
  </si>
  <si>
    <t xml:space="preserve">На основании протокола №20251100115306 от 18.12.2025</t>
  </si>
  <si>
    <t xml:space="preserve">Принято, акт есть</t>
  </si>
  <si>
    <t xml:space="preserve">есть</t>
  </si>
  <si>
    <t xml:space="preserve">26.10: Принято, акт есть</t>
  </si>
  <si>
    <t xml:space="preserve">Спил и обрезка деревьев на придомовой территории</t>
  </si>
  <si>
    <t xml:space="preserve">Благоустройство</t>
  </si>
  <si>
    <t xml:space="preserve">Успешно</t>
  </si>
  <si>
    <t xml:space="preserve">срок 01.02.2026 – 28.02.2026; создана 02.10.2026</t>
  </si>
  <si>
    <t xml:space="preserve">08.10: Выполнено, акта нет → 26.10: Принято, акт есть → 27.10 Битрикс: Принято, акт есть</t>
  </si>
  <si>
    <t xml:space="preserve">Верхнеполевая ул, 21</t>
  </si>
  <si>
    <t xml:space="preserve">Установка светильников подъезд 1,2, 32 шт.</t>
  </si>
  <si>
    <t xml:space="preserve">Электрика</t>
  </si>
  <si>
    <t xml:space="preserve">На основании заявления №4214/ОС от 30.12.2025</t>
  </si>
  <si>
    <t xml:space="preserve">Выполнено, акта нет</t>
  </si>
  <si>
    <t xml:space="preserve">нет</t>
  </si>
  <si>
    <t xml:space="preserve">08.10: Выполнено, акта нет → 26.10: Выполнено, акта нет → 27.10 Битрикс: Выполнено, акта нет</t>
  </si>
  <si>
    <t xml:space="preserve">Минаева ул, 5</t>
  </si>
  <si>
    <t xml:space="preserve">Установка светильников датчиков движения в боксах, 90 шт.</t>
  </si>
  <si>
    <t xml:space="preserve">есть (КС-2 в Битрикс24)</t>
  </si>
  <si>
    <t xml:space="preserve">Полбина пр-д, 4</t>
  </si>
  <si>
    <t xml:space="preserve">Установка зонтов над ВК подъезд №1</t>
  </si>
  <si>
    <t xml:space="preserve">Подъезды</t>
  </si>
  <si>
    <t xml:space="preserve">срок 02.10.2026 – 02.10.2026; создана 02.10.2026</t>
  </si>
  <si>
    <t xml:space="preserve">Поливенская ул, 29</t>
  </si>
  <si>
    <t xml:space="preserve">Замена ОДПУ ХВС</t>
  </si>
  <si>
    <t xml:space="preserve">Приборы учёта</t>
  </si>
  <si>
    <t xml:space="preserve">На основании заявления №964/ОС от 23.12.2025 года</t>
  </si>
  <si>
    <t xml:space="preserve">Снято</t>
  </si>
  <si>
    <t xml:space="preserve">Отказано</t>
  </si>
  <si>
    <t xml:space="preserve">08.10: Снято → 26.10: Снято → 27.10 Битрикс: Снято · План: Отказ</t>
  </si>
  <si>
    <t xml:space="preserve">Пушкарева ул, 40</t>
  </si>
  <si>
    <t xml:space="preserve">Уборка подвала</t>
  </si>
  <si>
    <t xml:space="preserve">Санитарное содержание</t>
  </si>
  <si>
    <t xml:space="preserve">На основании акта обследования от 27.11.2025</t>
  </si>
  <si>
    <t xml:space="preserve">передан в ПТО</t>
  </si>
  <si>
    <t xml:space="preserve">Уютная ул, 10</t>
  </si>
  <si>
    <t xml:space="preserve">Ремонт лежака системы КНС в подвале</t>
  </si>
  <si>
    <t xml:space="preserve">Инженерные сети</t>
  </si>
  <si>
    <t xml:space="preserve">Кузнецова ул, 6</t>
  </si>
  <si>
    <t xml:space="preserve">Ремонт л/площадки 2,3,14 этаж</t>
  </si>
  <si>
    <t xml:space="preserve">срок 01.03.2026 – 31.03.2026; создана 02.10.2026</t>
  </si>
  <si>
    <t xml:space="preserve">Любови Шевцовой ул 54Б корп. 3</t>
  </si>
  <si>
    <t xml:space="preserve">Ремонт л/к стен и потолков 9-10 эт.</t>
  </si>
  <si>
    <t xml:space="preserve">На основании заявления №4090/ОС от 18.12.2025 года</t>
  </si>
  <si>
    <t xml:space="preserve">Артема ул, 25</t>
  </si>
  <si>
    <t xml:space="preserve">Перенос скамеек</t>
  </si>
  <si>
    <t xml:space="preserve">Прочее</t>
  </si>
  <si>
    <t xml:space="preserve">На основании заявления 3849</t>
  </si>
  <si>
    <t xml:space="preserve">срок 01.04.2026 – 30.04.2026; создана 02.10.2026</t>
  </si>
  <si>
    <t xml:space="preserve">Артема ул, 43</t>
  </si>
  <si>
    <t xml:space="preserve">Ремонт прилигания козырьков подъезд №2</t>
  </si>
  <si>
    <t xml:space="preserve">Кровля и козырьки</t>
  </si>
  <si>
    <t xml:space="preserve">на основании акта обследования о 01.04.2026</t>
  </si>
  <si>
    <t xml:space="preserve">Доватора ул, 14А</t>
  </si>
  <si>
    <t xml:space="preserve">Ремонт МПШ кв.№87 (8 904-191-18-55)</t>
  </si>
  <si>
    <t xml:space="preserve">Фасад и МПШ</t>
  </si>
  <si>
    <t xml:space="preserve">на основании акта обследования от 03.03.2026</t>
  </si>
  <si>
    <t xml:space="preserve">Установка лавочек подъезд №3</t>
  </si>
  <si>
    <t xml:space="preserve">личный прием граждан</t>
  </si>
  <si>
    <t xml:space="preserve">Маяковского ул, 11/47</t>
  </si>
  <si>
    <t xml:space="preserve">Ремонт температурного шва подъезд №1</t>
  </si>
  <si>
    <t xml:space="preserve">На основании заявления №3177/ОС от 24.09.2025</t>
  </si>
  <si>
    <t xml:space="preserve">Ремонт примыканий ДВК к кровли над кв.№39</t>
  </si>
  <si>
    <t xml:space="preserve">На основании акта обследования от 13.03.2026</t>
  </si>
  <si>
    <t xml:space="preserve">Пушкарева ул, 8А</t>
  </si>
  <si>
    <t xml:space="preserve">Ремонт крылец, восстановление обшивки с торца по гарантии</t>
  </si>
  <si>
    <t xml:space="preserve">На основании ранее написанного заявления (в план поставили после личного приема )</t>
  </si>
  <si>
    <t xml:space="preserve">Ремонт л/марша 1-6 подъезд (недостающие прутья)</t>
  </si>
  <si>
    <t xml:space="preserve">Личный прием</t>
  </si>
  <si>
    <t xml:space="preserve">срок 01.04.2026 – 16.10.2026; создана 02.10.2026</t>
  </si>
  <si>
    <t xml:space="preserve">26.10: Принято, акт есть → 27.10 Битрикс: Принято, акт есть</t>
  </si>
  <si>
    <t xml:space="preserve">Радищева ул, 126</t>
  </si>
  <si>
    <t xml:space="preserve">Замена насоса станции ХВС</t>
  </si>
  <si>
    <t xml:space="preserve">На основании заявления №55/ОС от 14.01.2026</t>
  </si>
  <si>
    <t xml:space="preserve">Циолковского ул, 5</t>
  </si>
  <si>
    <t xml:space="preserve">Прочистка выпуска канализации 2 шт.</t>
  </si>
  <si>
    <t xml:space="preserve">На основании протокола №20260100137722</t>
  </si>
  <si>
    <t xml:space="preserve">Аблукова ул, 43А</t>
  </si>
  <si>
    <t xml:space="preserve">Завоз песка</t>
  </si>
  <si>
    <t xml:space="preserve">На основании заявления №1593/ОС от 12.05.2026</t>
  </si>
  <si>
    <t xml:space="preserve">срок 01.05.2026 – 31.05.2026; создана 02.10.2026</t>
  </si>
  <si>
    <t xml:space="preserve">Ремонт кровли лоджии кв. №36</t>
  </si>
  <si>
    <t xml:space="preserve">На основании акта обследования от 14.01.2026 года</t>
  </si>
  <si>
    <t xml:space="preserve">Артема ул, 23</t>
  </si>
  <si>
    <t xml:space="preserve">Косметический ремонт балконов незадымляемой л/клетки</t>
  </si>
  <si>
    <t xml:space="preserve">На основании протокола №20251100107454 от 01.12.2025</t>
  </si>
  <si>
    <t xml:space="preserve">Установка лавочек подъезд №5</t>
  </si>
  <si>
    <t xml:space="preserve">На основании заявления №1437/ЗКС А от 28.04.2026</t>
  </si>
  <si>
    <t xml:space="preserve">Докучаева ул, 12</t>
  </si>
  <si>
    <t xml:space="preserve">Замена окон ПВХ поъезд №1-3</t>
  </si>
  <si>
    <t xml:space="preserve">Карла Либкнехта ул, 22</t>
  </si>
  <si>
    <t xml:space="preserve">Установка оконных блоков подъезд №1-5</t>
  </si>
  <si>
    <t xml:space="preserve">Любови Шевцовой ул, 54Б корп. 4</t>
  </si>
  <si>
    <t xml:space="preserve">Ремонт кровли кв.№40а</t>
  </si>
  <si>
    <t xml:space="preserve">На основании акта обследования от 05.02.2026</t>
  </si>
  <si>
    <t xml:space="preserve">Московское шоссе, 100</t>
  </si>
  <si>
    <t xml:space="preserve">Ремонт кровли лоджии с заменой отлива и устройства примыканий к парапету кв. №286</t>
  </si>
  <si>
    <t xml:space="preserve">На основани акта обследования от 26.02.2026</t>
  </si>
  <si>
    <t xml:space="preserve">Орджоникидзе ул, 55</t>
  </si>
  <si>
    <t xml:space="preserve">Ремонт кровли кв.№59,60,80</t>
  </si>
  <si>
    <t xml:space="preserve">Обращение ГЖИ</t>
  </si>
  <si>
    <t xml:space="preserve">Запланировано</t>
  </si>
  <si>
    <t xml:space="preserve">08.10: Выполнено, акта нет → 26.10: Выполнено, акта нет</t>
  </si>
  <si>
    <t xml:space="preserve">Орлова ул, 27</t>
  </si>
  <si>
    <t xml:space="preserve">Ремонт скамейки, подъезд №6</t>
  </si>
  <si>
    <t xml:space="preserve">На основании заявления №1036/ОС от 30.03.2026</t>
  </si>
  <si>
    <t xml:space="preserve">08.10: Выполнено, акта нет → 26.10: Принято, акт есть → 27.10 Битрикс: Принято, акт есть · Исполнитель 08.10: По содержанию</t>
  </si>
  <si>
    <t xml:space="preserve">Установка полусферы на прежнее место к контейнерам</t>
  </si>
  <si>
    <t xml:space="preserve">Двери, окна, входные группы</t>
  </si>
  <si>
    <t xml:space="preserve">Пожарского ул, 29А</t>
  </si>
  <si>
    <t xml:space="preserve">Ремонт кровли лоджии кв.№45</t>
  </si>
  <si>
    <t xml:space="preserve">На основании акта обследования от 26.03.2026 года</t>
  </si>
  <si>
    <t xml:space="preserve">Покраска МАФ(элементы детской площадки и бордюр)</t>
  </si>
  <si>
    <t xml:space="preserve">На основании заявления №1241/ОС от 14.04.2026</t>
  </si>
  <si>
    <t xml:space="preserve">Завоз песка(предварительно вывезти старыйпесок)</t>
  </si>
  <si>
    <t xml:space="preserve">Поливенская ул, 7</t>
  </si>
  <si>
    <t xml:space="preserve">Ремонт наружн. кухонной стены кв.№22</t>
  </si>
  <si>
    <t xml:space="preserve">На основании протокола №027/л от 04.04.2024 года.</t>
  </si>
  <si>
    <t xml:space="preserve">08.10: Выполнено, акта нет → 26.10: Принято, акт есть → 27.10 Битрикс: Принято, акт есть · План: Выполнено Шалаев</t>
  </si>
  <si>
    <t xml:space="preserve">Радищева ул, 3 корп. 1</t>
  </si>
  <si>
    <t xml:space="preserve">Замена урн, 4 шт</t>
  </si>
  <si>
    <t xml:space="preserve">На основании заявления ПСД</t>
  </si>
  <si>
    <t xml:space="preserve">Покраска МАФ ((лавочки;забор; входные двери в дом, подвал и мусорные камеры))</t>
  </si>
  <si>
    <t xml:space="preserve">Подштукатурить цементным расвором входы в подвал)</t>
  </si>
  <si>
    <t xml:space="preserve">Терешковой ул, 14</t>
  </si>
  <si>
    <t xml:space="preserve">Локальный ремонт кровли кв.№58</t>
  </si>
  <si>
    <t xml:space="preserve">На основании заявления №1023/ОС</t>
  </si>
  <si>
    <t xml:space="preserve">Федерации ул, 150</t>
  </si>
  <si>
    <t xml:space="preserve">Покраска фасада по месту расположения кв.№31</t>
  </si>
  <si>
    <t xml:space="preserve">На основании заявления №783/ОС от 21.10.2025</t>
  </si>
  <si>
    <t xml:space="preserve">Аблукова ул, 73</t>
  </si>
  <si>
    <t xml:space="preserve">(ремонт узла ХВС, бойпас, счетчик,расширительный бак)</t>
  </si>
  <si>
    <t xml:space="preserve">срок 01.06.2026 – 30.06.2026; создана 02.10.2026</t>
  </si>
  <si>
    <t xml:space="preserve">Косметический ремонт стен после пролива, 3,4 этаж</t>
  </si>
  <si>
    <t xml:space="preserve">Замена ливневой канализации</t>
  </si>
  <si>
    <t xml:space="preserve">Покупка коврика в подъезд</t>
  </si>
  <si>
    <t xml:space="preserve">На основании заявления №73-2026-18714 от 20.05.2026</t>
  </si>
  <si>
    <t xml:space="preserve">Гагарина ул, 11</t>
  </si>
  <si>
    <t xml:space="preserve">Ремонт 2-х коридоров 5-го этажа</t>
  </si>
  <si>
    <t xml:space="preserve">На основании протокола совета дома</t>
  </si>
  <si>
    <t xml:space="preserve">срок 01.06.2026 – 14.10.2026; создана 02.10.2026</t>
  </si>
  <si>
    <t xml:space="preserve">08.10: В работе → 26.10: Принято, акт есть → 27.10 Битрикс: Принято, акт есть · План: В работе</t>
  </si>
  <si>
    <t xml:space="preserve">Гагарина ул, 31</t>
  </si>
  <si>
    <t xml:space="preserve">Ремонт отмостки</t>
  </si>
  <si>
    <t xml:space="preserve">На основании протокола №20260300106808 от 01.04.2026</t>
  </si>
  <si>
    <t xml:space="preserve">Доватора ул, 9</t>
  </si>
  <si>
    <t xml:space="preserve">Ремонт кровли кв. №39</t>
  </si>
  <si>
    <t xml:space="preserve">Ремонт козырьков над входной группой, 3 шт.</t>
  </si>
  <si>
    <t xml:space="preserve">Кролюницкого ул, 16</t>
  </si>
  <si>
    <t xml:space="preserve">Ремонт кровли на машинном отделении</t>
  </si>
  <si>
    <t xml:space="preserve">На основании заявления №1781/И от 28.05.2026</t>
  </si>
  <si>
    <t xml:space="preserve">Установить рамы в фрамугах между 2 и 3 этажами, установить стекла между 3 и 4 этажами</t>
  </si>
  <si>
    <t xml:space="preserve">На основании заявления №1830/ОС от 01.06.2026</t>
  </si>
  <si>
    <t xml:space="preserve">Ремонт цоколя</t>
  </si>
  <si>
    <t xml:space="preserve">На основании протокола №20251000114992 от 01.11.2025</t>
  </si>
  <si>
    <t xml:space="preserve">Генеральная уборка подъездов</t>
  </si>
  <si>
    <t xml:space="preserve">На основании заяления №1717/ЗС от 22.05.2026</t>
  </si>
  <si>
    <t xml:space="preserve">Можайского ул, 19</t>
  </si>
  <si>
    <t xml:space="preserve">Установка полусфер на углу при повороте</t>
  </si>
  <si>
    <t xml:space="preserve">На основании заявления №1611/ОС от 13.05.2026</t>
  </si>
  <si>
    <t xml:space="preserve">Произвести ремонт труб отпления в кв.№11,7,15,31,34</t>
  </si>
  <si>
    <t xml:space="preserve">На основании заявления №1612/ОС от 13.05.2026</t>
  </si>
  <si>
    <t xml:space="preserve">Заделать откос к лифту на 1-м этаже подъезда №6</t>
  </si>
  <si>
    <t xml:space="preserve">На основании заявления №1823/ОС от 01.06.2026</t>
  </si>
  <si>
    <t xml:space="preserve">Нариманова пр-т, 89</t>
  </si>
  <si>
    <t xml:space="preserve">Вывод крана для полива состороны подъезда №2</t>
  </si>
  <si>
    <t xml:space="preserve">На основании заявления №1647/ОС от 15.05.2026</t>
  </si>
  <si>
    <t xml:space="preserve">Нариманова пр-т, 91</t>
  </si>
  <si>
    <t xml:space="preserve">Ремонт кровли над машинном отделении</t>
  </si>
  <si>
    <t xml:space="preserve">Полбина ул, 61А</t>
  </si>
  <si>
    <t xml:space="preserve">Ремонт МПШ с северной стороны,старшая покажет какие квартиры</t>
  </si>
  <si>
    <t xml:space="preserve">На основании заявления №971/ОС от 25.03.2026</t>
  </si>
  <si>
    <t xml:space="preserve">Установка урн, 3 шт</t>
  </si>
  <si>
    <t xml:space="preserve">На основании заявления №427/ОС от 13.05.2026</t>
  </si>
  <si>
    <t xml:space="preserve">Пушкарева ул, 20</t>
  </si>
  <si>
    <t xml:space="preserve">Уборка л/клеток</t>
  </si>
  <si>
    <t xml:space="preserve">На основании завления №1766/ОС от 27.05.2026</t>
  </si>
  <si>
    <t xml:space="preserve">Ульяны Громовой ул, 6</t>
  </si>
  <si>
    <t xml:space="preserve">На основании заявления №1713/ОС от 21.05.2026</t>
  </si>
  <si>
    <t xml:space="preserve">Уютная ул, 4</t>
  </si>
  <si>
    <t xml:space="preserve">Замена тамбурных дверей в 3-х подъездах</t>
  </si>
  <si>
    <t xml:space="preserve">На основании прокола совета МКД от 14.05.2026</t>
  </si>
  <si>
    <t xml:space="preserve">26.10: Выполнено, акта нет</t>
  </si>
  <si>
    <t xml:space="preserve">50-летия ВЛКСМ пр-т, 22А корп. 2</t>
  </si>
  <si>
    <t xml:space="preserve">Ремонт входной группы (запасной )</t>
  </si>
  <si>
    <t xml:space="preserve">На основании протокола №20251000125275 от 12.12.2025 года</t>
  </si>
  <si>
    <t xml:space="preserve">срок 01.07.2026 – 31.07.2026; создана 02.10.2026</t>
  </si>
  <si>
    <t xml:space="preserve">50-летия ВЛКСМ пр-т, 24</t>
  </si>
  <si>
    <t xml:space="preserve">Ремонтплитки при входе в подъезд</t>
  </si>
  <si>
    <t xml:space="preserve">срок 01.07.2026 – 16.10.2026; создана 02.10.2026</t>
  </si>
  <si>
    <t xml:space="preserve">Окраска фасада</t>
  </si>
  <si>
    <t xml:space="preserve">Аблукова ул, 19</t>
  </si>
  <si>
    <t xml:space="preserve">Локальный ремонт кровли</t>
  </si>
  <si>
    <t xml:space="preserve">На основании заявления №2073/ОС от 19.06.2026</t>
  </si>
  <si>
    <t xml:space="preserve">Врача Сурова пр-т, 29</t>
  </si>
  <si>
    <t xml:space="preserve">Регулировка подъездной дверий 1 подъезд.</t>
  </si>
  <si>
    <t xml:space="preserve">Обработка придомовой территории от клещей.</t>
  </si>
  <si>
    <t xml:space="preserve">Врача Сурова пр-т, 31</t>
  </si>
  <si>
    <t xml:space="preserve">Замена светильников МОП 2 подъезд 6 этаж 2шт.</t>
  </si>
  <si>
    <t xml:space="preserve">Регулировка подъездных дверей 2шт.</t>
  </si>
  <si>
    <t xml:space="preserve">Врача Сурова пр-т, 36</t>
  </si>
  <si>
    <t xml:space="preserve">Внесение весенних удобрений 771м2</t>
  </si>
  <si>
    <t xml:space="preserve">Гафурова ул, 11</t>
  </si>
  <si>
    <t xml:space="preserve">Ремонт оголовок ДВК</t>
  </si>
  <si>
    <t xml:space="preserve">Гафурова ул, 84</t>
  </si>
  <si>
    <t xml:space="preserve">Восстановление крылец подъезд №1,2</t>
  </si>
  <si>
    <t xml:space="preserve">На основании заявления</t>
  </si>
  <si>
    <t xml:space="preserve">Генерала Тюленева пр-т, 50</t>
  </si>
  <si>
    <t xml:space="preserve">Генерала Тюленева пр-т, 52</t>
  </si>
  <si>
    <t xml:space="preserve">Замена светодиодных светильников придомового освещения 3шт.</t>
  </si>
  <si>
    <t xml:space="preserve">Карбышева ул, 40</t>
  </si>
  <si>
    <t xml:space="preserve">Устройство напольного покрытия входных групп с 1 по 3 подъезд.</t>
  </si>
  <si>
    <t xml:space="preserve">Карбышева ул, 42</t>
  </si>
  <si>
    <t xml:space="preserve">Замена фильтра Ду80 в ИТП</t>
  </si>
  <si>
    <t xml:space="preserve">Карбышева ул, 44</t>
  </si>
  <si>
    <t xml:space="preserve">Замена подъездных дверей 1,2 подъезд 2шт.</t>
  </si>
  <si>
    <t xml:space="preserve">Карбышева ул, 49</t>
  </si>
  <si>
    <t xml:space="preserve">Замена светильников МОП 3 подъезд 10 этаж 1шт.</t>
  </si>
  <si>
    <t xml:space="preserve">Карбышева ул, 53</t>
  </si>
  <si>
    <t xml:space="preserve">Карла Либкнехта ул, 30</t>
  </si>
  <si>
    <t xml:space="preserve">На основании протокола №20251000117380 от 18.11.2025</t>
  </si>
  <si>
    <t xml:space="preserve">Карла Либкнехта ул, 32</t>
  </si>
  <si>
    <t xml:space="preserve">Ремонт межпанельных швов</t>
  </si>
  <si>
    <t xml:space="preserve">срок 02.10.2026 – 16.10.2026; создана 02.10.2026</t>
  </si>
  <si>
    <t xml:space="preserve">Карла Маркса ул, 63</t>
  </si>
  <si>
    <t xml:space="preserve">Увеличение мощности пластинчатого теплообменника</t>
  </si>
  <si>
    <t xml:space="preserve">На основании протокола заседания соведа дома от 23.06.2026</t>
  </si>
  <si>
    <t xml:space="preserve">срок 01.07.2026 – 14.10.2026; создана 02.10.2026</t>
  </si>
  <si>
    <t xml:space="preserve">Ремонт ограждения на детской площадке (сварка)</t>
  </si>
  <si>
    <t xml:space="preserve">На основании заявления №1764/ОС от 27.05.2026</t>
  </si>
  <si>
    <t xml:space="preserve">Ремонт кровли кв.№144</t>
  </si>
  <si>
    <t xml:space="preserve">На основании акта пролития от 03.03.2026</t>
  </si>
  <si>
    <t xml:space="preserve">Крымова ул, 63</t>
  </si>
  <si>
    <t xml:space="preserve">Замена дверей и укладка плитки на 1-хэтажей</t>
  </si>
  <si>
    <t xml:space="preserve">Любови Шевцовой ул, 54А</t>
  </si>
  <si>
    <t xml:space="preserve">На основани заявления №1963/ОС от 10.06.2026</t>
  </si>
  <si>
    <t xml:space="preserve">Окраска оснований дефлекторов 30 шт.</t>
  </si>
  <si>
    <t xml:space="preserve">На основании заявления №1666/ОС от 18.05.2026</t>
  </si>
  <si>
    <t xml:space="preserve">Замена ТРЖ</t>
  </si>
  <si>
    <t xml:space="preserve">На основании заявления №1958/ОС от 10.06.2026</t>
  </si>
  <si>
    <t xml:space="preserve">электронный</t>
  </si>
  <si>
    <t xml:space="preserve">Замена кранов на системе ЦО и ГВС на чердаке</t>
  </si>
  <si>
    <t xml:space="preserve">На основании заявления №16146/ОС от 15.05.2026/протокол №20260400124828 от 12.05.2026</t>
  </si>
  <si>
    <t xml:space="preserve">Нариманова пр-т, 92</t>
  </si>
  <si>
    <t xml:space="preserve">Установка зонтов на оголовки ДВК</t>
  </si>
  <si>
    <t xml:space="preserve">На основании пртокола №20250900109837 от 24.09.2025</t>
  </si>
  <si>
    <t xml:space="preserve">Нариманова пр-т, 93</t>
  </si>
  <si>
    <t xml:space="preserve">Замена бойпаса на вводе ХВС с заменой ОДПУ ХВС</t>
  </si>
  <si>
    <t xml:space="preserve">На основании заявления №1864/ОС от 03.06.2026</t>
  </si>
  <si>
    <t xml:space="preserve">Нариманова пр-т, 97</t>
  </si>
  <si>
    <t xml:space="preserve">Ремонт кровли кв.№77,78 (100 кв.м.)</t>
  </si>
  <si>
    <t xml:space="preserve">На основании заявления №1656/ОС от 18.05.2026</t>
  </si>
  <si>
    <t xml:space="preserve">Установка решеток на двери в подвал 1,3 подъезда</t>
  </si>
  <si>
    <t xml:space="preserve">Покраска входных дверей,входа в подвал и ограждения</t>
  </si>
  <si>
    <t xml:space="preserve">Пушкарева ул, 18</t>
  </si>
  <si>
    <t xml:space="preserve">Установка забора</t>
  </si>
  <si>
    <t xml:space="preserve">Пушкарева ул, 24</t>
  </si>
  <si>
    <t xml:space="preserve">Ремонт МПШ</t>
  </si>
  <si>
    <t xml:space="preserve">Ремонт подъездов №1-4</t>
  </si>
  <si>
    <t xml:space="preserve">На основании протокола №20251000132319</t>
  </si>
  <si>
    <t xml:space="preserve">статус расходится: Битрикс24: «В работе», а 26.10 — выполнено, акта нет</t>
  </si>
  <si>
    <t xml:space="preserve">08.10: В работе → 26.10: Выполнено, акта нет → 27.10 Битрикс: В работе · План: в работе</t>
  </si>
  <si>
    <t xml:space="preserve">Пушкарева ул, 6А</t>
  </si>
  <si>
    <t xml:space="preserve">Закупка вазонов, 2 шт</t>
  </si>
  <si>
    <t xml:space="preserve">На основании заявления №1956/ОС от 10.06.2026</t>
  </si>
  <si>
    <t xml:space="preserve">факт: в плане 8000,00 ₽, у исполнителей 10000,00 ₽</t>
  </si>
  <si>
    <t xml:space="preserve">Пушкарева ул, 74</t>
  </si>
  <si>
    <t xml:space="preserve">Ремонт корридоров в подъезде №1,2</t>
  </si>
  <si>
    <t xml:space="preserve">Пушкарева ул, 8</t>
  </si>
  <si>
    <t xml:space="preserve">Установка ТРЖ</t>
  </si>
  <si>
    <t xml:space="preserve">Розы Люксембург ул, 50</t>
  </si>
  <si>
    <t xml:space="preserve">Установка урн 6 шт (3 на детской площадке)</t>
  </si>
  <si>
    <t xml:space="preserve">На основании заявления №383/ОС от 29.04.2026</t>
  </si>
  <si>
    <t xml:space="preserve">08.10: Выполнено, акта нет → 26.10: Выполнено, акта нет → 27.10 Битрикс: В работе · План: в работе</t>
  </si>
  <si>
    <t xml:space="preserve">Рылеева ул, 11</t>
  </si>
  <si>
    <t xml:space="preserve">На основании протокола №222511000106454 от 03.11.2025</t>
  </si>
  <si>
    <t xml:space="preserve">Северный Венец ул, 16</t>
  </si>
  <si>
    <t xml:space="preserve">Замена лежака отопления в подвале (6 метров, диаметр 76)</t>
  </si>
  <si>
    <t xml:space="preserve">На основании заявления №1635/ОС от 15.05.2026</t>
  </si>
  <si>
    <t xml:space="preserve">Покраска метал. Частей крыльца, двух лавочек и двух урн</t>
  </si>
  <si>
    <t xml:space="preserve">Уютная ул, 8</t>
  </si>
  <si>
    <t xml:space="preserve">Установка почтовых ящиков в два подъезда</t>
  </si>
  <si>
    <t xml:space="preserve">На основании заявления №412/ОС от 08.05.2026</t>
  </si>
  <si>
    <t xml:space="preserve">50-летия ВЛКСМ пр-т, 3</t>
  </si>
  <si>
    <t xml:space="preserve">Ремонт напольной плитки в подъездах (Сырбаков)</t>
  </si>
  <si>
    <t xml:space="preserve">срок 01.08.2026 – 15.10.2026; создана 02.10.2026</t>
  </si>
  <si>
    <t xml:space="preserve">факт: в плане 758676,22 ₽, у исполнителей 743600,00 ₽</t>
  </si>
  <si>
    <t xml:space="preserve">Ремонт крыльца подъезд №1 (разрушена плитка)</t>
  </si>
  <si>
    <t xml:space="preserve">На основании заявления №1551/ОС от 06.05.2026</t>
  </si>
  <si>
    <t xml:space="preserve">срок 01.08.2026 – 31.08.2026; создана 02.10.2026</t>
  </si>
  <si>
    <t xml:space="preserve">Автозаводская ул, 56</t>
  </si>
  <si>
    <t xml:space="preserve">Установка лавочки( мжду горкой и песочницей)</t>
  </si>
  <si>
    <t xml:space="preserve">На основании заявления №2183/ОС от 30.06.2026</t>
  </si>
  <si>
    <t xml:space="preserve">Видеодиагностика канализации</t>
  </si>
  <si>
    <t xml:space="preserve">Воробьева ул, 38/2</t>
  </si>
  <si>
    <t xml:space="preserve">Ремонт крыльца</t>
  </si>
  <si>
    <t xml:space="preserve">Установить дверь на балконе 3-го жтажа (Спецстекло)</t>
  </si>
  <si>
    <t xml:space="preserve">На основании заявления №2115/ОС от 23.06.2026</t>
  </si>
  <si>
    <t xml:space="preserve">срок 01.08.2026 – 14.10.2026; создана 02.10.2026</t>
  </si>
  <si>
    <t xml:space="preserve">факт: в плане 67200,00 ₽, у исполнителей 64200,00 ₽</t>
  </si>
  <si>
    <t xml:space="preserve">Установка окон с москитными сетками в подъездах №1-5</t>
  </si>
  <si>
    <t xml:space="preserve">На основании протокола №20260500115190 от 28.05.2026</t>
  </si>
  <si>
    <t xml:space="preserve">Проведение геодезической разметки придомовой территории</t>
  </si>
  <si>
    <t xml:space="preserve">Экспертиза крыши для переноса сроков кап. Ремонта</t>
  </si>
  <si>
    <t xml:space="preserve">Минаева ул, 44</t>
  </si>
  <si>
    <t xml:space="preserve">Ремонт кровли в два слоя</t>
  </si>
  <si>
    <t xml:space="preserve">На основании протокола №20251100130169 от 20.12.2025 года</t>
  </si>
  <si>
    <t xml:space="preserve">Ремонт входов в подвал 2-8</t>
  </si>
  <si>
    <t xml:space="preserve">На основании протокола собрания совета дома от 29.09.2025</t>
  </si>
  <si>
    <t xml:space="preserve">Отвод дождевых вод у подъезда №3</t>
  </si>
  <si>
    <t xml:space="preserve">На основании заявления №1902/ЗКС А от 05.06.2026</t>
  </si>
  <si>
    <t xml:space="preserve">Ремонт кровли балкона (стык между стеной дома и балконом кв.№214) СВК</t>
  </si>
  <si>
    <t xml:space="preserve">На основании заявления №2215/ОС от 01.07.2026</t>
  </si>
  <si>
    <t xml:space="preserve">Московское шоссе, 39</t>
  </si>
  <si>
    <t xml:space="preserve">Ремонт мягкой кровли кв. 20</t>
  </si>
  <si>
    <t xml:space="preserve">На основании акта оследования от 30.07.2026</t>
  </si>
  <si>
    <t xml:space="preserve">срок 01.08.2026 – 16.10.2026; создана 02.10.2026</t>
  </si>
  <si>
    <t xml:space="preserve">Октябрьская ул, 33</t>
  </si>
  <si>
    <t xml:space="preserve">Ремонт системы ЦО</t>
  </si>
  <si>
    <t xml:space="preserve">Орлова ул, 2</t>
  </si>
  <si>
    <t xml:space="preserve">Ремонт системы ЦО на вводе в тех.подвале</t>
  </si>
  <si>
    <t xml:space="preserve">На основании заявления №2184/ОС от 30.06.2026</t>
  </si>
  <si>
    <t xml:space="preserve">Замена кранов на системе ГВС на тех.этаже</t>
  </si>
  <si>
    <t xml:space="preserve">Радищева ул, 179А</t>
  </si>
  <si>
    <t xml:space="preserve">Ремонт оголовков ДВК</t>
  </si>
  <si>
    <t xml:space="preserve">Робеспьера ул, 120</t>
  </si>
  <si>
    <t xml:space="preserve">Ремонт цоколя (Сырбаков)</t>
  </si>
  <si>
    <t xml:space="preserve">На основании протокола №20251200108698 от 15.01.2026</t>
  </si>
  <si>
    <t xml:space="preserve">Розы Люксембург ул, 54</t>
  </si>
  <si>
    <t xml:space="preserve">Ремонт крылец подъезд №1,2</t>
  </si>
  <si>
    <t xml:space="preserve">На основании заявления №256/ОС от 31.03.2026</t>
  </si>
  <si>
    <t xml:space="preserve">Ростовская ул, 16</t>
  </si>
  <si>
    <t xml:space="preserve">Ремонт крыльца 4 подъезд</t>
  </si>
  <si>
    <t xml:space="preserve">На основании заявления ПСД от 22.07.2026</t>
  </si>
  <si>
    <t xml:space="preserve">Выполнено, документы не сданы</t>
  </si>
  <si>
    <t xml:space="preserve">26.10: Принято, акт есть → 27.10 Битрикс: Выполнено, акта нет</t>
  </si>
  <si>
    <t xml:space="preserve">Средний Венец ул, 1</t>
  </si>
  <si>
    <t xml:space="preserve">08.10: В работе → 26.10: Принято, акт есть → 27.10 Битрикс: Принято, акт есть</t>
  </si>
  <si>
    <t xml:space="preserve">Средний Венец ул, 7</t>
  </si>
  <si>
    <t xml:space="preserve">Замена входных дверей 4 шт</t>
  </si>
  <si>
    <t xml:space="preserve">На основании протокола №22251100101943</t>
  </si>
  <si>
    <t xml:space="preserve">26.10: Принято, акт есть → 27.10 Битрикс: Принято, акт есть · План: дата 29.07.2026</t>
  </si>
  <si>
    <t xml:space="preserve">Установка домофона подъезд 1-3</t>
  </si>
  <si>
    <t xml:space="preserve">На основании протокола №20251200114907 от 30.12.2025</t>
  </si>
  <si>
    <t xml:space="preserve">Установка светильников с датчиком движения,12 шт</t>
  </si>
  <si>
    <t xml:space="preserve">На основании заявления №411/ОС от 08.05.2026</t>
  </si>
  <si>
    <t xml:space="preserve">3-го Интернационала ул, 2</t>
  </si>
  <si>
    <t xml:space="preserve">50-летия ВЛКСМ пр-т, 28</t>
  </si>
  <si>
    <t xml:space="preserve">Покраска входных групп подъезд №1-8</t>
  </si>
  <si>
    <t xml:space="preserve">На основании заявления от 27.08.2026</t>
  </si>
  <si>
    <t xml:space="preserve">срок 01.09.2026 – 30.09.2026; создана 02.10.2026</t>
  </si>
  <si>
    <t xml:space="preserve">Установить доборы на входные двери внутри подъезда</t>
  </si>
  <si>
    <t xml:space="preserve">Укладка тротуарной плитки (поднять высоту где требуется)</t>
  </si>
  <si>
    <t xml:space="preserve">Аблукова ул, 11</t>
  </si>
  <si>
    <t xml:space="preserve">не знают, как подписать</t>
  </si>
  <si>
    <t xml:space="preserve">08.10: Выполнено, акта нет → 26.10: Выполнено, акта нет · Исполнитель 08.10: как подписывать(самовар)</t>
  </si>
  <si>
    <t xml:space="preserve">Замена стояков ЦО кв.№5,9,13,17,1 (зал,спальная)</t>
  </si>
  <si>
    <t xml:space="preserve">На основании акта обследования от 03.08.2026</t>
  </si>
  <si>
    <t xml:space="preserve">08.10: Выполнено, акта нет</t>
  </si>
  <si>
    <t xml:space="preserve">Ремонт МПШ кв. №72</t>
  </si>
  <si>
    <t xml:space="preserve">На оснвоании заявления №1249/ОС от 15.04.2026</t>
  </si>
  <si>
    <t xml:space="preserve">Аблукова ул, 13</t>
  </si>
  <si>
    <t xml:space="preserve">Ремонт клапана ТРЖ</t>
  </si>
  <si>
    <t xml:space="preserve">Заявление ПСД</t>
  </si>
  <si>
    <t xml:space="preserve">Аблукова ул, 33</t>
  </si>
  <si>
    <t xml:space="preserve">срок 01.09.2026 – 15.10.2026; создана 02.10.2026</t>
  </si>
  <si>
    <t xml:space="preserve">Замена стояка ГВС кв. №11</t>
  </si>
  <si>
    <t xml:space="preserve">На основании заявления №2058/ОС от 18.06.2026</t>
  </si>
  <si>
    <t xml:space="preserve">На контроле</t>
  </si>
  <si>
    <t xml:space="preserve">08.10: На контроле → 08.10 лист мастера: На контроле · Исполнитель 08.10: собственник доступ не предоставляет · Гайдуков А.В.: собственник доступ не предоставляет</t>
  </si>
  <si>
    <t xml:space="preserve">Замена электороно термометра</t>
  </si>
  <si>
    <t xml:space="preserve">На основании заявления №2844/ОС от 31.08.2026</t>
  </si>
  <si>
    <t xml:space="preserve">Ремонт тротуарной плитки под.№2</t>
  </si>
  <si>
    <t xml:space="preserve">Аблукова ул, 67</t>
  </si>
  <si>
    <t xml:space="preserve">Установка насоса на ГВС</t>
  </si>
  <si>
    <t xml:space="preserve">На основании заявления №2101/ОС от 22.06.2026</t>
  </si>
  <si>
    <t xml:space="preserve">Ремонт примыканий кровли кв 106</t>
  </si>
  <si>
    <t xml:space="preserve">Акт обследования</t>
  </si>
  <si>
    <t xml:space="preserve">Ремонт 3-х лестниц со стороны фасада, идущие в подвал (Бердышев)</t>
  </si>
  <si>
    <t xml:space="preserve">На основании заявления №2353/ОС от 16.07.2026</t>
  </si>
  <si>
    <t xml:space="preserve">Отрезать выступающаю часть балконной плиты у входа в подвал под окном кв. №73</t>
  </si>
  <si>
    <t xml:space="preserve">На основании заявления №2636/ОС от 11.08.2026</t>
  </si>
  <si>
    <t xml:space="preserve">Ремонт МПШ кв. №79</t>
  </si>
  <si>
    <t xml:space="preserve">На основании акта обследования от 09.09.2026</t>
  </si>
  <si>
    <t xml:space="preserve">Уборка подвала от мусора</t>
  </si>
  <si>
    <t xml:space="preserve">08.10: Отложено на зиму → 08.10 лист мастера: Отложено на зиму</t>
  </si>
  <si>
    <t xml:space="preserve">Установка обратных клапанов на выпусках КНС.</t>
  </si>
  <si>
    <t xml:space="preserve">Ремонт кровли лоджии над кв.№69</t>
  </si>
  <si>
    <t xml:space="preserve">На основании акта обследования от 19.08.2026</t>
  </si>
  <si>
    <t xml:space="preserve">Ремонт МПШ кв. №213</t>
  </si>
  <si>
    <t xml:space="preserve">На основании акта обследования</t>
  </si>
  <si>
    <t xml:space="preserve">Ремонт МПШ кв. №107</t>
  </si>
  <si>
    <t xml:space="preserve">На основании заявления №2811/ОС от 26.08.2026</t>
  </si>
  <si>
    <t xml:space="preserve">Ремонт межпанельных швов кв.№167 и №163 кухня</t>
  </si>
  <si>
    <t xml:space="preserve">На основании акта обследования от 04.03.2026 года</t>
  </si>
  <si>
    <t xml:space="preserve">Ремонт кровли над 2 подъездом</t>
  </si>
  <si>
    <t xml:space="preserve">Ремонт кровли над кв. №107</t>
  </si>
  <si>
    <t xml:space="preserve">работа есть только в файле исполнителей, в годовом плане 26.10 её нет</t>
  </si>
  <si>
    <t xml:space="preserve">Автозаводская ул, 28</t>
  </si>
  <si>
    <t xml:space="preserve">Ремонт мягкой ковли кв. №352</t>
  </si>
  <si>
    <t xml:space="preserve">На основании акта обследования от 01.07.2026</t>
  </si>
  <si>
    <t xml:space="preserve">На основании заявления №1553/ОС от 06.05.2026</t>
  </si>
  <si>
    <t xml:space="preserve">Перенос вентилей ХВС в подвале</t>
  </si>
  <si>
    <t xml:space="preserve">На основании заявления от 27.07.2026</t>
  </si>
  <si>
    <t xml:space="preserve">Требует уточнения</t>
  </si>
  <si>
    <t xml:space="preserve">исполнитель: в файле исполнителей «Алиев/ПТО» — УК или подрядчик?</t>
  </si>
  <si>
    <t xml:space="preserve">08.10: Требует уточнения</t>
  </si>
  <si>
    <t xml:space="preserve">Установка светильника над подъездом №4</t>
  </si>
  <si>
    <t xml:space="preserve">На основании заявления №1967/ОС от 11.06.2026</t>
  </si>
  <si>
    <t xml:space="preserve">Ремонт кровли кв. №80 (лоджия)</t>
  </si>
  <si>
    <t xml:space="preserve">На основании акта обследования от 10.08.2026</t>
  </si>
  <si>
    <t xml:space="preserve">Артема ул, 28</t>
  </si>
  <si>
    <t xml:space="preserve">косметический ремонт л/к 1-го этажа</t>
  </si>
  <si>
    <t xml:space="preserve">На основани акта обследования от 21.08.2026</t>
  </si>
  <si>
    <t xml:space="preserve">Ремонт кровли кв.26</t>
  </si>
  <si>
    <t xml:space="preserve">Заявка мастера</t>
  </si>
  <si>
    <t xml:space="preserve">Ремонт сиситемы канализации</t>
  </si>
  <si>
    <t xml:space="preserve">На основании протокола №20260500128649 от 16.06.2026</t>
  </si>
  <si>
    <t xml:space="preserve">Установка светильников с датчиком движения в тамбурах.Проверить светильники и выключатели в подъездах №4,5,6</t>
  </si>
  <si>
    <t xml:space="preserve">На основании заявления №2297/ОС от 10.07.2026</t>
  </si>
  <si>
    <t xml:space="preserve">Ватутина ул, 26</t>
  </si>
  <si>
    <t xml:space="preserve">Установка радиатора библиотека №25, радиатор в наличии</t>
  </si>
  <si>
    <t xml:space="preserve">На основании заявления №216/И от 21.08.2026</t>
  </si>
  <si>
    <t xml:space="preserve">исполнитель: в файле исполнителей «Зеленцов/ПТО» — УК или подрядчик?</t>
  </si>
  <si>
    <t xml:space="preserve">08.10: Требует уточнения → 08.10 лист мастера: Требует уточнения · Исполнитель 08.10: Почему мы??? · Зеленцов А.В.: Почему мы???</t>
  </si>
  <si>
    <t xml:space="preserve">Ватутина ул, 60</t>
  </si>
  <si>
    <t xml:space="preserve">Течь балкона кв.54</t>
  </si>
  <si>
    <t xml:space="preserve">Верхнеполевая ул, 19</t>
  </si>
  <si>
    <t xml:space="preserve">Ремонт мягкой кровли</t>
  </si>
  <si>
    <t xml:space="preserve">На основании акта обследования от 11.08.2026</t>
  </si>
  <si>
    <t xml:space="preserve">Замена розлива системы ГВС</t>
  </si>
  <si>
    <t xml:space="preserve">На основании протокола заседания совета дома от 05.05.2026</t>
  </si>
  <si>
    <t xml:space="preserve">08.10: В работе → 08.10 лист мастера: В работе</t>
  </si>
  <si>
    <t xml:space="preserve">Установить отсекающие краны на стояке ЦО в тех. Подвале</t>
  </si>
  <si>
    <t xml:space="preserve">На основании заявления №2678/ОС от 14.08.2026</t>
  </si>
  <si>
    <t xml:space="preserve">Верхнеполевая ул, 2а</t>
  </si>
  <si>
    <t xml:space="preserve">Ремонт МПШ кв. 64</t>
  </si>
  <si>
    <t xml:space="preserve">На основании акта оследования от 11.12.2025</t>
  </si>
  <si>
    <t xml:space="preserve">Водопроводная ул, 11</t>
  </si>
  <si>
    <t xml:space="preserve">Установка насоса повышения давления</t>
  </si>
  <si>
    <t xml:space="preserve">На основании протокола №20260800105815 от 18.08.2026</t>
  </si>
  <si>
    <t xml:space="preserve">Замена запорной арматуры на ситеме ЦО на тех этаже</t>
  </si>
  <si>
    <t xml:space="preserve">На основании заявления №3797</t>
  </si>
  <si>
    <t xml:space="preserve">Врача Сурова пр-т, 30</t>
  </si>
  <si>
    <t xml:space="preserve">Ремонт подъездных дверей 1,2 подъезд 2шт.</t>
  </si>
  <si>
    <t xml:space="preserve">Устройство отсечных сооружений выхода на кровлю с 1 по 4 подъезд.</t>
  </si>
  <si>
    <t xml:space="preserve">Замена клапанов автоматического полива</t>
  </si>
  <si>
    <t xml:space="preserve">Высотный пр-д, 2</t>
  </si>
  <si>
    <t xml:space="preserve">Вывоз мусора с балкона с 1-го по 5-й этаж</t>
  </si>
  <si>
    <t xml:space="preserve">На основании заявления №2116/ОС от 23.06.2026</t>
  </si>
  <si>
    <t xml:space="preserve">Установка металлической двери на цокольном этаже</t>
  </si>
  <si>
    <t xml:space="preserve">На основании заявления №2319/ОС от 14.07.2026</t>
  </si>
  <si>
    <t xml:space="preserve">в Битрикс24 другой адрес: «улица Гагарина, 3»</t>
  </si>
  <si>
    <t xml:space="preserve">08.10: Снято → 26.10: Снято · План: отмена</t>
  </si>
  <si>
    <t xml:space="preserve">Ремонт наружной стены на 17-м этаже</t>
  </si>
  <si>
    <t xml:space="preserve">На основании заявления №2317/ОС от 14.07.2026</t>
  </si>
  <si>
    <t xml:space="preserve">Ремонт кровли подъезд №2</t>
  </si>
  <si>
    <t xml:space="preserve">На основании обращения ГИС ЖКХ 73-2026-29797</t>
  </si>
  <si>
    <t xml:space="preserve">Ремонт крылец подъезд №3,4,5</t>
  </si>
  <si>
    <t xml:space="preserve">Генерала Тюленева пр-т, 48</t>
  </si>
  <si>
    <t xml:space="preserve">Ремонт МПШ КВ№36</t>
  </si>
  <si>
    <t xml:space="preserve">Устройство отсечных сооружений выхода на кровлю с 1 по 3 подъезд.</t>
  </si>
  <si>
    <t xml:space="preserve">Замена светодиодных светильников придомового освещения 1шт.</t>
  </si>
  <si>
    <t xml:space="preserve">Пр-т Генерала Тюленева д.50 устройство полукрышек спусков в подвал</t>
  </si>
  <si>
    <t xml:space="preserve">Выдача материала совету МКД для проведения субботника.</t>
  </si>
  <si>
    <t xml:space="preserve">Устройство напольного покрытия входных групп с 1 по 4 подъезд.</t>
  </si>
  <si>
    <t xml:space="preserve">Ремонт асфальтового покрытия придомовой территории.</t>
  </si>
  <si>
    <t xml:space="preserve">.</t>
  </si>
  <si>
    <t xml:space="preserve">Гончарова ул, 5</t>
  </si>
  <si>
    <t xml:space="preserve">Заамена вводной трубы ХВС (наружка)</t>
  </si>
  <si>
    <t xml:space="preserve">На основании протокола №20260500111400 от 01.06.2026</t>
  </si>
  <si>
    <t xml:space="preserve">08.10: Требует уточнения → 08.10 лист мастера: Требует уточнения · Исполнитель 08.10: не может отключить Водоканал · Алиев Р.Р.: не может отключить Водоканал</t>
  </si>
  <si>
    <t xml:space="preserve">Восстановить напольную плитку между 1 и 2 этажом</t>
  </si>
  <si>
    <t xml:space="preserve">На основании заявления №1576/ОС от 12.05.2026</t>
  </si>
  <si>
    <t xml:space="preserve">Установка радиаторов на площадках между 1-2 и 2-3 этажами</t>
  </si>
  <si>
    <t xml:space="preserve">На основании заявления №2011/ОС от 16.06.2026 года</t>
  </si>
  <si>
    <t xml:space="preserve">Утепление монолитного пояса, кв 140</t>
  </si>
  <si>
    <t xml:space="preserve">Устройство полукрышки спуска в тех-подполья</t>
  </si>
  <si>
    <t xml:space="preserve">Заолнение пустот теплового зазора кв№4</t>
  </si>
  <si>
    <t xml:space="preserve">Ремонт кровли 1й подъезд 67.2м2</t>
  </si>
  <si>
    <t xml:space="preserve">Устройство полурышек спусков в тех-подполье 2шт.</t>
  </si>
  <si>
    <t xml:space="preserve">Устройство сигнальных столбов на придомовой территории 24шт.</t>
  </si>
  <si>
    <t xml:space="preserve">Устройство асфальтового покрытия на придомовой территории 36м2</t>
  </si>
  <si>
    <t xml:space="preserve">Замена светильников МОП 2 подъезд 12 этаж 2шт.</t>
  </si>
  <si>
    <t xml:space="preserve">Замена светильников МОП 2 подъезд 4 этаж 2шт.</t>
  </si>
  <si>
    <t xml:space="preserve">Замена прожектора входной группы 1 подъезд 1шт.</t>
  </si>
  <si>
    <t xml:space="preserve">Карла Либкнехта ул, 10</t>
  </si>
  <si>
    <t xml:space="preserve">Карла Либкнехта ул, 2</t>
  </si>
  <si>
    <t xml:space="preserve">Ремонт розлива ГВС ( 20 метров. 6 врезок)</t>
  </si>
  <si>
    <t xml:space="preserve">На основании заявления №116/ОС от 19.01.2026</t>
  </si>
  <si>
    <t xml:space="preserve">Ремонт л/к подъезд №1 на 2-м этаже</t>
  </si>
  <si>
    <t xml:space="preserve">На основании заявления №2629/ОС от 11.08.2026</t>
  </si>
  <si>
    <t xml:space="preserve">Переустановка входной двери подъезд №4</t>
  </si>
  <si>
    <t xml:space="preserve">На основании заявления №2660 от 12.08.2026</t>
  </si>
  <si>
    <t xml:space="preserve">Карла Либкнехта ул, 3</t>
  </si>
  <si>
    <t xml:space="preserve">Карла Маркса ул, 41</t>
  </si>
  <si>
    <t xml:space="preserve">Замена ВРУ-0,4кВ</t>
  </si>
  <si>
    <t xml:space="preserve">Протокол №20260600104860</t>
  </si>
  <si>
    <t xml:space="preserve">08.10: В работе</t>
  </si>
  <si>
    <t xml:space="preserve">Карла Маркса ул, 42</t>
  </si>
  <si>
    <t xml:space="preserve">Установка лежачего полицейского между подъезами №1 и №2</t>
  </si>
  <si>
    <t xml:space="preserve">На основании заявления №1785/ОС от 28.05.2026</t>
  </si>
  <si>
    <t xml:space="preserve">Ремонт МПШ кв. №88</t>
  </si>
  <si>
    <t xml:space="preserve">На основании акта обследования от 08.08.2026</t>
  </si>
  <si>
    <t xml:space="preserve">Ленина ул, 101</t>
  </si>
  <si>
    <t xml:space="preserve">Ленина ул, 144</t>
  </si>
  <si>
    <t xml:space="preserve">Течь кровли кв.15</t>
  </si>
  <si>
    <t xml:space="preserve">Заявка №64376</t>
  </si>
  <si>
    <t xml:space="preserve">Поверка и калибровка приюора учета тепла</t>
  </si>
  <si>
    <t xml:space="preserve">На основании заявления №1962/ОС от 10.06.2026</t>
  </si>
  <si>
    <t xml:space="preserve">Любови Шевцовой ул, 54Б корп. 5</t>
  </si>
  <si>
    <t xml:space="preserve">Калибровка приборов учета по отплению</t>
  </si>
  <si>
    <t xml:space="preserve">На соновании заявления №1900/ОС от 05.06.2026</t>
  </si>
  <si>
    <t xml:space="preserve">Марата ул, 6</t>
  </si>
  <si>
    <t xml:space="preserve">Устройство мусорной площадки из проф.листа (под два контейнера 1,1 м.куб.)</t>
  </si>
  <si>
    <t xml:space="preserve">На основании протокла №20251000125042 от 12.11.2025</t>
  </si>
  <si>
    <t xml:space="preserve">Замена канализационной трубы в подвале</t>
  </si>
  <si>
    <t xml:space="preserve">На основании заявления №374/ОС от 27.04.2026</t>
  </si>
  <si>
    <t xml:space="preserve">Маяковского ул, 21</t>
  </si>
  <si>
    <t xml:space="preserve">Ремонт кровли кв.№36,37,38,39,40</t>
  </si>
  <si>
    <t xml:space="preserve">На основании заявления №435/ОС от 15.05.2026</t>
  </si>
  <si>
    <t xml:space="preserve">Маяковского ул, 23</t>
  </si>
  <si>
    <t xml:space="preserve">Ремонт кровли кв.№39 (50 кв.м)</t>
  </si>
  <si>
    <t xml:space="preserve">На основании заявления №1676/ОС от 19.05.2026</t>
  </si>
  <si>
    <t xml:space="preserve">Замена лежака КНС</t>
  </si>
  <si>
    <t xml:space="preserve">На основании протокола №20260300123335 от 27.04.2026</t>
  </si>
  <si>
    <t xml:space="preserve">Минаева ул, 10</t>
  </si>
  <si>
    <t xml:space="preserve">Ремонт кровли кв. №44</t>
  </si>
  <si>
    <t xml:space="preserve">На основании акта пролития от 17.07.2026</t>
  </si>
  <si>
    <t xml:space="preserve">Ремонт входных групп</t>
  </si>
  <si>
    <t xml:space="preserve">Минаева ул, 15</t>
  </si>
  <si>
    <t xml:space="preserve">Установка лавочки п.1,2,3,9,5</t>
  </si>
  <si>
    <t xml:space="preserve">Заявление от 27.07.26</t>
  </si>
  <si>
    <t xml:space="preserve">Восстановить освещение 4подъезд техкомната</t>
  </si>
  <si>
    <t xml:space="preserve">Ремонт кровли над машинным помещением лифта подъезд №7</t>
  </si>
  <si>
    <t xml:space="preserve">На основании заявления №2981/И от 10.09.2026</t>
  </si>
  <si>
    <t xml:space="preserve">Минаева ул, 16</t>
  </si>
  <si>
    <t xml:space="preserve">Минаева ул, 18</t>
  </si>
  <si>
    <t xml:space="preserve">Минаева ул, 34</t>
  </si>
  <si>
    <t xml:space="preserve">Установка ситсемы розлива ЦО</t>
  </si>
  <si>
    <t xml:space="preserve">08.10: Требует уточнения · Исполнитель 08.10: Требуется замена розлива ГВС(НЕ ЦО)</t>
  </si>
  <si>
    <t xml:space="preserve">Минаева ул, 40</t>
  </si>
  <si>
    <t xml:space="preserve">Ремонт кровли над кв.58</t>
  </si>
  <si>
    <t xml:space="preserve">Замена арматуры на системе ЦО</t>
  </si>
  <si>
    <t xml:space="preserve">Минаева ул, 7</t>
  </si>
  <si>
    <t xml:space="preserve">Ремонт мягкой кровли кв. №32,28,24,20</t>
  </si>
  <si>
    <t xml:space="preserve">На основании заявления №904/ЗКС а от 23.03.2026</t>
  </si>
  <si>
    <t xml:space="preserve">08.10: Выполнено, акта нет · Исполнитель 08.10: ПСД акт не подписывает</t>
  </si>
  <si>
    <t xml:space="preserve">Ремонт фасада кв. №40 (разгерметизация фасада)</t>
  </si>
  <si>
    <t xml:space="preserve">На основании акта пролития от 10.08.2026</t>
  </si>
  <si>
    <t xml:space="preserve">Обследование трубопровода ГВС от эл. узла между 3 и 4 под. Восстановление теплоизоляции открытого участка трубопровода ГВС</t>
  </si>
  <si>
    <t xml:space="preserve">На основани заявления ГИС ЖКХ №73-2026-30105 от 19.08.2026</t>
  </si>
  <si>
    <t xml:space="preserve">Можайского ул, 17</t>
  </si>
  <si>
    <t xml:space="preserve">Провести экспертизу дома (дом проседает)</t>
  </si>
  <si>
    <t xml:space="preserve">Обследования</t>
  </si>
  <si>
    <t xml:space="preserve">На основании заявления №763/ОС от 28.08.2026</t>
  </si>
  <si>
    <t xml:space="preserve">Можайского ул, 6А корп. 1</t>
  </si>
  <si>
    <t xml:space="preserve">Ремонт примыканий кровли лоджии к парапету кв. №179</t>
  </si>
  <si>
    <t xml:space="preserve">На основании акта обследования от 17.07.2026</t>
  </si>
  <si>
    <t xml:space="preserve">08.10: В работе · Исполнитель: АЛЬПИНИСТЫ</t>
  </si>
  <si>
    <t xml:space="preserve">кв 179 ремонт кровли лоджии ( но там только силами альпинистов)</t>
  </si>
  <si>
    <t xml:space="preserve">Заявка от мастера</t>
  </si>
  <si>
    <t xml:space="preserve">Московское шоссе, 51</t>
  </si>
  <si>
    <t xml:space="preserve">Установка УУТЭ</t>
  </si>
  <si>
    <t xml:space="preserve">На основании протокола №20260600127125 от 09.07.2026</t>
  </si>
  <si>
    <t xml:space="preserve">Московское шоссе, 55</t>
  </si>
  <si>
    <t xml:space="preserve">08.10: Выполнено, акта нет → 26.10: Выполнено, акта нет · Исполнитель 08.10: акта нет(как подписывать самовары)</t>
  </si>
  <si>
    <t xml:space="preserve">Московское шоссе, 75А</t>
  </si>
  <si>
    <t xml:space="preserve">Нариманова пр-т, 112</t>
  </si>
  <si>
    <t xml:space="preserve">Замена стояка ХВС в кв. №6,12,18,24,30,36,42,48,54</t>
  </si>
  <si>
    <t xml:space="preserve">На основании заявления №2633/ОС от 11.08.2026</t>
  </si>
  <si>
    <t xml:space="preserve">08.10: На контроле → 08.10 лист мастера: На контроле · Исполнитель 08.10: доступ для замены стояка не предоставляется · Зеленцов А.В.: доступ для замены стояка не предоставляется</t>
  </si>
  <si>
    <t xml:space="preserve">Нариманова пр-т, 82</t>
  </si>
  <si>
    <t xml:space="preserve">Частичный ремонт розлива ЦО</t>
  </si>
  <si>
    <t xml:space="preserve">Исполнитель 08.10: Дом уходит,ПСД РАБОТЫ ПРОИЗВОДИТЬ НЕ ДАЕТ??? · Зеленцов А.В.: Дом уходит,ПСД РАБОТЫ ПРОИЗВОДИТЬ НЕ ДАЕТ???</t>
  </si>
  <si>
    <t xml:space="preserve">Нариманова пр-т, 83</t>
  </si>
  <si>
    <t xml:space="preserve">Замена стояка ХВС,ГВС кв. №41</t>
  </si>
  <si>
    <t xml:space="preserve">На основании заявления №2932/ОС от 07.09.2026</t>
  </si>
  <si>
    <t xml:space="preserve">Утепление стен и установка капельников в машинном отделении подъезд №1</t>
  </si>
  <si>
    <t xml:space="preserve">На основании протокола №20260400124828 от 12.05.2026</t>
  </si>
  <si>
    <t xml:space="preserve">Железный переход в подвале опустить ниже</t>
  </si>
  <si>
    <t xml:space="preserve">На основании заявления №2043/ОС от 18.06.2026</t>
  </si>
  <si>
    <t xml:space="preserve">Замена уплотнителей на чердаке на двери</t>
  </si>
  <si>
    <t xml:space="preserve">На основании заявления №1534/ОС от 06.05.2026</t>
  </si>
  <si>
    <t xml:space="preserve">Закрепление молниеотвода на фасаде</t>
  </si>
  <si>
    <t xml:space="preserve">срок 01.09.2026 – 16.10.2026; создана 02.10.2026</t>
  </si>
  <si>
    <t xml:space="preserve">Комплекс работ методом промышленного альпинизма,заделка ниш балкона кв.№31,70 и кв.№71,72 ремонт облицовочных плит</t>
  </si>
  <si>
    <t xml:space="preserve">На основании заявления №3402/ОС от 15.10.2025</t>
  </si>
  <si>
    <t xml:space="preserve">Спил деревьев</t>
  </si>
  <si>
    <t xml:space="preserve">На основании заявления №597/ОС от 06.07.2026</t>
  </si>
  <si>
    <t xml:space="preserve">08.10: На контроле → 08.10 лист мастера: На контроле · Зеленцов А.В.: благоустройство</t>
  </si>
  <si>
    <t xml:space="preserve">Ремонт кровли</t>
  </si>
  <si>
    <t xml:space="preserve">Ремонт ступеней крылец подъздов №1,2,3</t>
  </si>
  <si>
    <t xml:space="preserve">На основании заявления №1777/ОС от27.05.2026</t>
  </si>
  <si>
    <t xml:space="preserve">замена канализационной трубы и стояков ХВС ,ГВС в кв. №84,88,92</t>
  </si>
  <si>
    <t xml:space="preserve">На основании заявления №2251/ОС от 07.07.2026</t>
  </si>
  <si>
    <t xml:space="preserve">исполнитель: в файле исполнителей «Мастер/ПТО» — УК или подрядчик?</t>
  </si>
  <si>
    <t xml:space="preserve">08.10: Требует уточнения · Исполнитель 08.10: доступ для замены стояка не предоставляется</t>
  </si>
  <si>
    <t xml:space="preserve">Октябрьская ул, 30А</t>
  </si>
  <si>
    <t xml:space="preserve">Ремонткровли кв.№239</t>
  </si>
  <si>
    <t xml:space="preserve">Ремонт МПШ кв. №232</t>
  </si>
  <si>
    <t xml:space="preserve">На основании акта обследования от 10.07.2026</t>
  </si>
  <si>
    <t xml:space="preserve">Орджоникидзе ул, 4</t>
  </si>
  <si>
    <t xml:space="preserve">Ремонтсистемы ЦО</t>
  </si>
  <si>
    <t xml:space="preserve">На основании протокола №20260500124369 от 15.06.2026 года</t>
  </si>
  <si>
    <t xml:space="preserve">Орджоникидзе ул, 57</t>
  </si>
  <si>
    <t xml:space="preserve">Ремонт отмостки возле 6 подъезда</t>
  </si>
  <si>
    <t xml:space="preserve">На основании заявления №_______ от 3.07.2026</t>
  </si>
  <si>
    <t xml:space="preserve">Голосование ОСС</t>
  </si>
  <si>
    <t xml:space="preserve">в Битрикс24 другой адрес: «улица Орлова, 2»</t>
  </si>
  <si>
    <t xml:space="preserve">08.10: Голосование ОСС → 26.10: Голосование ОСС · План: голосуют</t>
  </si>
  <si>
    <t xml:space="preserve">Частичный ремонт системы ГВС в подвале</t>
  </si>
  <si>
    <t xml:space="preserve">На основании протокола №069/л от 05.05.2025</t>
  </si>
  <si>
    <t xml:space="preserve">Ремонт МПШ кв.№32</t>
  </si>
  <si>
    <t xml:space="preserve">Панорамная ул, 83</t>
  </si>
  <si>
    <t xml:space="preserve">Отсыпка щебнем пешеходной дорожки между подъездами №1 и №2, за домом</t>
  </si>
  <si>
    <t xml:space="preserve">Пожарского ул, 31</t>
  </si>
  <si>
    <t xml:space="preserve">Обрезка и спил деревьев на придомовой территории</t>
  </si>
  <si>
    <t xml:space="preserve">На основании протокола №20260400162766 от 01.06.2026</t>
  </si>
  <si>
    <t xml:space="preserve">Полбина пр-д, 14</t>
  </si>
  <si>
    <t xml:space="preserve">Полбина пр-д, 22</t>
  </si>
  <si>
    <t xml:space="preserve">Восстановление гермитичности кровли и МПШ кв.№34,38,36,39, 57,77,78, л/площадка подъезд №3,4</t>
  </si>
  <si>
    <t xml:space="preserve">На основании заявления №2925/ОС от 04.09.2026</t>
  </si>
  <si>
    <t xml:space="preserve">Полбина пр-д, 32</t>
  </si>
  <si>
    <t xml:space="preserve">Установка парковочных столбиков, 80 шт.</t>
  </si>
  <si>
    <t xml:space="preserve">На основании заявления №2864/ОС от 01.09.2026</t>
  </si>
  <si>
    <t xml:space="preserve">08.10: Выполнено, акта нет → 26.10: Принято, акт есть → 27.10 Битрикс: Принято, акт есть · План: Выполнегно</t>
  </si>
  <si>
    <t xml:space="preserve">На основании протокола №20260500122555 от 15.06.2026 года</t>
  </si>
  <si>
    <t xml:space="preserve">Полбина ул, 35</t>
  </si>
  <si>
    <t xml:space="preserve">08.10: Выполнено, акта нет → 26.10: Выполнено, акта нет · План: Выполнегно · Исполнитель 08.10: акта нет(как подписывать самовары)</t>
  </si>
  <si>
    <t xml:space="preserve">Полбина ул, 47</t>
  </si>
  <si>
    <t xml:space="preserve">08.10: Выполнено, акта нет → 26.10: Выполнено, акта нет · План: Выполнегно</t>
  </si>
  <si>
    <t xml:space="preserve">Ремонт кровли кв. №37,20</t>
  </si>
  <si>
    <t xml:space="preserve">На основании акта определения причин затопления от 12.01.2026 и от 13.01.2026</t>
  </si>
  <si>
    <t xml:space="preserve">Ремонт кровли кв. №38</t>
  </si>
  <si>
    <t xml:space="preserve">На основании акта от 17.02.2026</t>
  </si>
  <si>
    <t xml:space="preserve">Полбина ул, 51</t>
  </si>
  <si>
    <t xml:space="preserve">Установить откосы на входные двери</t>
  </si>
  <si>
    <t xml:space="preserve">На основании заявления №1404/ОС от 24.04.2026</t>
  </si>
  <si>
    <t xml:space="preserve">Полбина ул, 53</t>
  </si>
  <si>
    <t xml:space="preserve">Полбина ул, 59</t>
  </si>
  <si>
    <t xml:space="preserve">Полбина ул, 59А</t>
  </si>
  <si>
    <t xml:space="preserve">Ремонт МПШ кв. 47</t>
  </si>
  <si>
    <t xml:space="preserve">На основании акта обследования от 22.07.2025</t>
  </si>
  <si>
    <t xml:space="preserve">08.10: Выполнено, акта нет → 26.10: Выполнено, акта нет · План: Выполнегно · Исполнитель 08.10: акта нет(ПМД не согласен с объемом работ)</t>
  </si>
  <si>
    <t xml:space="preserve">Ремонт МПШ кв. №78</t>
  </si>
  <si>
    <t xml:space="preserve">На основнии акта обследования от 10.08.2026</t>
  </si>
  <si>
    <t xml:space="preserve">Ремонт примыкания кровли балкона кв. №141,142</t>
  </si>
  <si>
    <t xml:space="preserve">На основании акта о пролитии от 18.08.2026</t>
  </si>
  <si>
    <t xml:space="preserve">Ремонт крыши балкона кв. №108</t>
  </si>
  <si>
    <t xml:space="preserve">На основании заявления №2838/ОС от 28.08.2026</t>
  </si>
  <si>
    <t xml:space="preserve">Ремонт кровли кв. №36</t>
  </si>
  <si>
    <t xml:space="preserve">На основании акта обследования от 10.09.2026</t>
  </si>
  <si>
    <t xml:space="preserve">Ремонт МПШ, ремонт примыкания балкона кв. №107</t>
  </si>
  <si>
    <t xml:space="preserve">Поливенская ул, 19</t>
  </si>
  <si>
    <t xml:space="preserve">Ремонт кровли кв.№12</t>
  </si>
  <si>
    <t xml:space="preserve">На основании акта от 22.06.2026</t>
  </si>
  <si>
    <t xml:space="preserve">08.10: В работе · Исполнитель: Требуется ремонт будки выхода на кровлю</t>
  </si>
  <si>
    <t xml:space="preserve">Установка велопарковки</t>
  </si>
  <si>
    <t xml:space="preserve">На основании заявления №588/ОС о 30.06.2026</t>
  </si>
  <si>
    <t xml:space="preserve">Ремонт кровли кв. №69 (80 кв.м.)</t>
  </si>
  <si>
    <t xml:space="preserve">Заявка у мастера</t>
  </si>
  <si>
    <t xml:space="preserve">08.10: В работе · Исполнитель: ремонт зонта</t>
  </si>
  <si>
    <t xml:space="preserve">Ремонт МПШ кв. №57</t>
  </si>
  <si>
    <t xml:space="preserve">На основании заявления №712/ОС от 13.08.2026</t>
  </si>
  <si>
    <t xml:space="preserve">Промышленая ул, 38</t>
  </si>
  <si>
    <t xml:space="preserve">Обследование МПШ кв. №13</t>
  </si>
  <si>
    <t xml:space="preserve">На основании акта обследования от 07.08.2026</t>
  </si>
  <si>
    <t xml:space="preserve">Пушкарева ул, 16</t>
  </si>
  <si>
    <t xml:space="preserve">26.10: Выполнено, акта нет · План: Выполнегно</t>
  </si>
  <si>
    <t xml:space="preserve">На основании протокола №20260500108810 от 31.05.2026 года</t>
  </si>
  <si>
    <t xml:space="preserve">08.10: На контроле → 08.10 лист мастера: На контроле · Евграфов С.В.: благоустройство</t>
  </si>
  <si>
    <t xml:space="preserve">08.10: Выполнено, акта нет → 26.10: Выполнено, акта нет · План: Выполнегно · Исполнитель 08.10: как подписывать(самовар)</t>
  </si>
  <si>
    <t xml:space="preserve">Ремонт крылец</t>
  </si>
  <si>
    <t xml:space="preserve">На основании акта обследования от 14.07.2026</t>
  </si>
  <si>
    <t xml:space="preserve">Нет статуса</t>
  </si>
  <si>
    <t xml:space="preserve">Установка решеток на слуховые окна</t>
  </si>
  <si>
    <t xml:space="preserve">Ремонт МАФ</t>
  </si>
  <si>
    <t xml:space="preserve">Установка урн на детской площадке</t>
  </si>
  <si>
    <t xml:space="preserve">Установка входных дверей</t>
  </si>
  <si>
    <t xml:space="preserve">Протокол №21 совета МКД от24.07.26</t>
  </si>
  <si>
    <t xml:space="preserve">Установка видеодомофонов</t>
  </si>
  <si>
    <t xml:space="preserve">Установка кабельканалов</t>
  </si>
  <si>
    <t xml:space="preserve">Пушкарева ул, 26</t>
  </si>
  <si>
    <t xml:space="preserve">Течь козырька 1 подъезда</t>
  </si>
  <si>
    <t xml:space="preserve">ремонт кровли козырьков</t>
  </si>
  <si>
    <t xml:space="preserve">Ремонт межпанельных швов кв.37</t>
  </si>
  <si>
    <t xml:space="preserve">Пушкарева ул, 54</t>
  </si>
  <si>
    <t xml:space="preserve">Ремонт тамбура подъезд №1,2, после установки входных дверей</t>
  </si>
  <si>
    <t xml:space="preserve">На основании заявления №3885/ОС от 02.12.2025</t>
  </si>
  <si>
    <t xml:space="preserve">26.10: Принято, акт есть → 27.10 Битрикс: Принято, акт есть · План: Выполнегно</t>
  </si>
  <si>
    <t xml:space="preserve">Установка 3-х лавочек подъездов</t>
  </si>
  <si>
    <t xml:space="preserve">Установка урн у подъезда №1,2 (у скамеек)</t>
  </si>
  <si>
    <t xml:space="preserve">На основании заявления №2065/ОС от 19.06.2026</t>
  </si>
  <si>
    <t xml:space="preserve">Пушкарева ул, 56</t>
  </si>
  <si>
    <t xml:space="preserve">На основании заявления №2326/ОС от 14.07.2026</t>
  </si>
  <si>
    <t xml:space="preserve">Вывод крана для полива подъезд №2</t>
  </si>
  <si>
    <t xml:space="preserve">Ремонт балконной плиты на 5-м этаже над кв.№87</t>
  </si>
  <si>
    <t xml:space="preserve">На основании заявления №2330/ОС от 15.07.2026</t>
  </si>
  <si>
    <t xml:space="preserve">Ремонт кровли кв 58,88</t>
  </si>
  <si>
    <t xml:space="preserve">Заявление мастера</t>
  </si>
  <si>
    <t xml:space="preserve">Пушкарева ул, 64</t>
  </si>
  <si>
    <t xml:space="preserve">Восстановление детской площадки</t>
  </si>
  <si>
    <t xml:space="preserve">26.10: Выполнено, акта нет · План: Выполнегно · Исполнитель 08.10: электроное ТРЖ</t>
  </si>
  <si>
    <t xml:space="preserve">Пушкарева ул, 70</t>
  </si>
  <si>
    <t xml:space="preserve">Заменить уплотнитель на двери входа в подъезд №6</t>
  </si>
  <si>
    <t xml:space="preserve">На основании акта обследования от 20.08.2026</t>
  </si>
  <si>
    <t xml:space="preserve">Ремонт кровли кв 160</t>
  </si>
  <si>
    <t xml:space="preserve">Залить битумом щели на отмостках (содержание)</t>
  </si>
  <si>
    <t xml:space="preserve">На основании заявления №607/ОС от 10.07.2026</t>
  </si>
  <si>
    <t xml:space="preserve">в Битрикс24 другой адрес: «улица Пушкарёва, 70»</t>
  </si>
  <si>
    <t xml:space="preserve">Замена окна разбитого входная группа подъезд №1</t>
  </si>
  <si>
    <t xml:space="preserve">Установить фотоэлемент для освещения входа в подъезд №2</t>
  </si>
  <si>
    <t xml:space="preserve">Установка пластиковых калпоков на фановые трубы</t>
  </si>
  <si>
    <t xml:space="preserve">08.10: На контроле → 08.10 лист мастера: На контроле · Исполнитель 08.10: материал заказан · Гайдуков А.В.: материал заказан</t>
  </si>
  <si>
    <t xml:space="preserve">Закончить кирпичную кладку до потолка входная группа подъезд №1</t>
  </si>
  <si>
    <t xml:space="preserve">Восстановить козырьки коробов вентиляции, 10 шт,сетчатое ограждение, сетчатое ограждение над кв. №162</t>
  </si>
  <si>
    <t xml:space="preserve">Замена трубы ХВС в кв. №66</t>
  </si>
  <si>
    <t xml:space="preserve">На основании заявления №689/ОС от 05.08.2026</t>
  </si>
  <si>
    <t xml:space="preserve">08.10: На контроле → 08.10 лист мастера: На контроле · Исполнитель 08.10: требуется разобрать короб · Гайдуков А.В.: требуется разобрать короб</t>
  </si>
  <si>
    <t xml:space="preserve">Установка кранов маевского на 9-х этажах</t>
  </si>
  <si>
    <t xml:space="preserve">На основании заявления №208/ОС от 22.06.2026</t>
  </si>
  <si>
    <t xml:space="preserve">Спил и обрезка деревьев</t>
  </si>
  <si>
    <t xml:space="preserve">На основании проткола №20260700105197 от 23.07.2026</t>
  </si>
  <si>
    <t xml:space="preserve">Ремонт кровли кв. №62</t>
  </si>
  <si>
    <t xml:space="preserve">Акт затопления</t>
  </si>
  <si>
    <t xml:space="preserve">Замена участка канализации кв.2</t>
  </si>
  <si>
    <t xml:space="preserve">08.10: На контроле → 08.10 лист мастера: В работе · Евграфов С.В.: Личный прием</t>
  </si>
  <si>
    <t xml:space="preserve">Радищева ул, 124</t>
  </si>
  <si>
    <t xml:space="preserve">Ремонт л/к, два подъезда с 1-й по 2-й этаж (покараска,побелка, плитка напольняа)</t>
  </si>
  <si>
    <t xml:space="preserve">Установка расходомера УУТЭ</t>
  </si>
  <si>
    <t xml:space="preserve">На основании заявления №2255/ОС от 07.07.2026</t>
  </si>
  <si>
    <t xml:space="preserve">Ремон МПШ кв. №57</t>
  </si>
  <si>
    <t xml:space="preserve">На основании заявления №1662/ОС от 18.05.2026</t>
  </si>
  <si>
    <t xml:space="preserve">Устройство площадки для отдыха (2 лавочки,бетонирование,тротуарная плитка )</t>
  </si>
  <si>
    <t xml:space="preserve">На основани заявления №2210/ОС от 01.07.2026</t>
  </si>
  <si>
    <t xml:space="preserve">08.10: Снято → 26.10: Снято · План: отказ</t>
  </si>
  <si>
    <t xml:space="preserve">Ремонт примыканий к кровле (отошел рубироид)</t>
  </si>
  <si>
    <t xml:space="preserve">На основании заявления от 05.06.2026</t>
  </si>
  <si>
    <t xml:space="preserve">Устранить провал плитки у подъезда №2</t>
  </si>
  <si>
    <t xml:space="preserve">Устранение течи в квартире №14, течет по стене</t>
  </si>
  <si>
    <t xml:space="preserve">На основании заявления №811/ОС от 10.09.2026</t>
  </si>
  <si>
    <t xml:space="preserve">Исполнитель 08.10: течь м/п швов</t>
  </si>
  <si>
    <t xml:space="preserve">Робеспьера ул, 89</t>
  </si>
  <si>
    <t xml:space="preserve">Замена входной двери</t>
  </si>
  <si>
    <t xml:space="preserve">Замена плиточного покрытия крыльца</t>
  </si>
  <si>
    <t xml:space="preserve">На основании заявления №1605/ОС от 13.05.2026</t>
  </si>
  <si>
    <t xml:space="preserve">Покраска лавочки (не краской)</t>
  </si>
  <si>
    <t xml:space="preserve">Исполнитель 08.10: Лавочки больше нет</t>
  </si>
  <si>
    <t xml:space="preserve">Розы Люксембург ул, 52</t>
  </si>
  <si>
    <t xml:space="preserve">Исполнитель 08.10: где и над какими кв. делать кровлю???</t>
  </si>
  <si>
    <t xml:space="preserve">Ремонт крыльца подъезд №4</t>
  </si>
  <si>
    <t xml:space="preserve">срок 02.10.2026 – 09.10.2026; создана 02.10.2026</t>
  </si>
  <si>
    <t xml:space="preserve">Ремонт крыльца ступеней подъезда №5,6</t>
  </si>
  <si>
    <t xml:space="preserve">Замена стояка ХВС по 4 кв. с 1по 5 этаж</t>
  </si>
  <si>
    <t xml:space="preserve">подъезд №4, добавиить ступеньку на спуск в подвал подъезд №1</t>
  </si>
  <si>
    <t xml:space="preserve">На основании заявления №1563/ОС от 07.05.2026</t>
  </si>
  <si>
    <t xml:space="preserve">Ремонт кровли над кв 91,93</t>
  </si>
  <si>
    <t xml:space="preserve">Ремонт кровли над кв 61,63</t>
  </si>
  <si>
    <t xml:space="preserve">Средний Венец ул, 9</t>
  </si>
  <si>
    <t xml:space="preserve">Ремонт отмостки (укладка асфальта вдоль отмостки)</t>
  </si>
  <si>
    <t xml:space="preserve">На основании протокола 125/л от 29.07.2025</t>
  </si>
  <si>
    <t xml:space="preserve">Стасова ул, 11А</t>
  </si>
  <si>
    <t xml:space="preserve">Ремонт мягкой кровли кв. №72 (лоджия)</t>
  </si>
  <si>
    <t xml:space="preserve">Ремонт козырьков входных групп и полукрышек в подвал</t>
  </si>
  <si>
    <t xml:space="preserve">На основании акта обследования от 16.03.2026 года</t>
  </si>
  <si>
    <t xml:space="preserve">Терешковой ул, 2</t>
  </si>
  <si>
    <t xml:space="preserve">Ульяны Громовой ул, 10</t>
  </si>
  <si>
    <t xml:space="preserve">Заделка трещены с 1 по 9 этаж. Восстановить гермитичность примыканий козырьков балкона кв. №182,219</t>
  </si>
  <si>
    <t xml:space="preserve">На основании акта обследования от 08.09.2026</t>
  </si>
  <si>
    <t xml:space="preserve">Исполнитель 08.10: Альпинисты</t>
  </si>
  <si>
    <t xml:space="preserve">Ремрнт гермитичности кровельного покрытия балкона кв. №145,215,216</t>
  </si>
  <si>
    <t xml:space="preserve">На основании акта обследования от 03.09.2026</t>
  </si>
  <si>
    <t xml:space="preserve">Уютная ул, 11</t>
  </si>
  <si>
    <t xml:space="preserve">Замена труб ЦО в подвале</t>
  </si>
  <si>
    <t xml:space="preserve">На основании заявления в подвале</t>
  </si>
  <si>
    <t xml:space="preserve">Исполнитель 08.10: требуется кап.ремонт</t>
  </si>
  <si>
    <t xml:space="preserve">Укладка плитки у входа в подъездах</t>
  </si>
  <si>
    <t xml:space="preserve">На основании заявления №418/ОС от 12.05.2026</t>
  </si>
  <si>
    <t xml:space="preserve">Сделать гидроизоляцию на козырьке тамбура,сделать повыше на уровне окна подъезда)</t>
  </si>
  <si>
    <t xml:space="preserve">На основании обращения ГИС ЖКХ 73-2026-28647</t>
  </si>
  <si>
    <t xml:space="preserve">Замена тамбурных дверей на желеные в двух подъездах</t>
  </si>
  <si>
    <t xml:space="preserve">На основании заявления №419/ОС от 12.05.2026</t>
  </si>
  <si>
    <t xml:space="preserve">срок 02.11.2026 – 29.10.2026 (завершение раньше начала); создана 22.10.2026</t>
  </si>
  <si>
    <t xml:space="preserve">Ремонт кровли кв.№14</t>
  </si>
  <si>
    <t xml:space="preserve">На основании акта от 17.03.2026</t>
  </si>
  <si>
    <t xml:space="preserve">Ремонт кровли кв. №30,43,44</t>
  </si>
  <si>
    <t xml:space="preserve">Юности ул, 49</t>
  </si>
  <si>
    <t xml:space="preserve">Замена стояка ХВС с подвала через кв.№34 и до середины кв.№35</t>
  </si>
  <si>
    <t xml:space="preserve">На основании заявления №455/ОС от 25.05.2027</t>
  </si>
  <si>
    <t xml:space="preserve">50-летия ВЛКСМ пр-т, 7</t>
  </si>
  <si>
    <t xml:space="preserve">Ремонт парковочного столбика и покраска полусфер</t>
  </si>
  <si>
    <t xml:space="preserve">На основани заявления №2949/ОС от 08.09.2026</t>
  </si>
  <si>
    <t xml:space="preserve">срок 01.10.2026 – 31.10.2026; создана 02.10.2026</t>
  </si>
  <si>
    <t xml:space="preserve">Регулировка двери подъезд №3</t>
  </si>
  <si>
    <t xml:space="preserve">На основании заявления №3202/ОС от 29.09.2026</t>
  </si>
  <si>
    <t xml:space="preserve">срок 08.10.2026 – 15.10.2026; создана 08.10.2026</t>
  </si>
  <si>
    <t xml:space="preserve">08.10 лист мастера: На контроле → 16.10 пополнение: На контроле</t>
  </si>
  <si>
    <t xml:space="preserve">Провести трубы ХВС и ГВС в 4-х подъездах для уборки и мытья полов</t>
  </si>
  <si>
    <t xml:space="preserve">На основании заявления №2842/ОС от 31.08.2026</t>
  </si>
  <si>
    <t xml:space="preserve">Установка электроного термометра</t>
  </si>
  <si>
    <t xml:space="preserve">На основании заявления №2843/ОС от 31.08.2026</t>
  </si>
  <si>
    <t xml:space="preserve">На основании заявления №2813/ОС от 27.08.2026</t>
  </si>
  <si>
    <t xml:space="preserve">Ремонт МПШ кв. №214</t>
  </si>
  <si>
    <t xml:space="preserve">На основании акта обследования от 01.10.2026</t>
  </si>
  <si>
    <t xml:space="preserve">срок 06.10.2026 – 12.10.2026; создана 05.10.2026</t>
  </si>
  <si>
    <t xml:space="preserve">Ремонт мягкой кровли кв. №71 (примыкания к ВК)</t>
  </si>
  <si>
    <t xml:space="preserve">срок 07.10.2026 – 12.10.2026; создана 05.10.2026</t>
  </si>
  <si>
    <t xml:space="preserve">08.10: В работе → 16.10 пополнение: Выполнено, акта нет</t>
  </si>
  <si>
    <t xml:space="preserve">Ремонт мягкой кровли лоджии кв. №209 (16 кв.м)</t>
  </si>
  <si>
    <t xml:space="preserve">На основании акта обследовния от 28.09.2026</t>
  </si>
  <si>
    <t xml:space="preserve">срок 01.10.2026 – 07.10.2026; создана 30.09.2026</t>
  </si>
  <si>
    <t xml:space="preserve">статус расходится: Битрикс24: «Просрочено», а 08.10 — выполнено, акта нет</t>
  </si>
  <si>
    <t xml:space="preserve">08.10: Выполнено, акта нет → 27.10 Битрикс: В работе</t>
  </si>
  <si>
    <t xml:space="preserve">Обследование и ремонт трещины на фасаде кв. №45</t>
  </si>
  <si>
    <t xml:space="preserve">На основании заявления №862/ОС от 28.09.2026</t>
  </si>
  <si>
    <t xml:space="preserve">срок 05.10.2026 – 12.10.2026; создана 05.10.2026</t>
  </si>
  <si>
    <t xml:space="preserve">Верхнеполевая ул, 23</t>
  </si>
  <si>
    <t xml:space="preserve">Ремонт МПШ кв. №65</t>
  </si>
  <si>
    <t xml:space="preserve">На основании акта обследования от 15.10.2026</t>
  </si>
  <si>
    <t xml:space="preserve">срок 16.10.2026 – 22.10.2026; создана 15.10.2026</t>
  </si>
  <si>
    <t xml:space="preserve">Гафурова ул, 18</t>
  </si>
  <si>
    <t xml:space="preserve">Замена стояков ГВС на армированные полипропилиновые в кв. №31,34,37</t>
  </si>
  <si>
    <t xml:space="preserve">На основании заявления №833/ОС от 18.09.2026</t>
  </si>
  <si>
    <t xml:space="preserve">08.10: Снято · Исполнитель 08.10: заявление у Левушкина В.А.</t>
  </si>
  <si>
    <t xml:space="preserve">Заштукатурить и окрасить зазоры между поддокониками и стеной в подъездах</t>
  </si>
  <si>
    <t xml:space="preserve">На основании заявления №2012/ОС от 16.06.2026</t>
  </si>
  <si>
    <t xml:space="preserve">Ефремова ул, 5А</t>
  </si>
  <si>
    <t xml:space="preserve">На основании протокола №20260500117803</t>
  </si>
  <si>
    <t xml:space="preserve">Установить информационные таблички над подъездами (подъезд №1 кв. 1-16; подъезд №2 кв. 17-32)</t>
  </si>
  <si>
    <t xml:space="preserve">На основании заявления №3068/ОС от 18.09.2026</t>
  </si>
  <si>
    <t xml:space="preserve">08.10: На контроле → 08.10 лист мастера: На контроле</t>
  </si>
  <si>
    <t xml:space="preserve">Ремонт лступеней л/марша 1 этаж</t>
  </si>
  <si>
    <t xml:space="preserve">Локальный ремонт кровли кв. №35</t>
  </si>
  <si>
    <t xml:space="preserve">На основании акта обследования от 15.09.2026</t>
  </si>
  <si>
    <t xml:space="preserve">27.10 Битрикс: В работе</t>
  </si>
  <si>
    <t xml:space="preserve">Любови Шевцовой ул, 54Б корп. 2</t>
  </si>
  <si>
    <t xml:space="preserve">Ремонт МПШ кв. №21 (89278166970)</t>
  </si>
  <si>
    <t xml:space="preserve">Заявка от 14.05.2026 (Калл-центр)</t>
  </si>
  <si>
    <t xml:space="preserve">Исполнитель 08.10: там нет м/п швов,только температурный</t>
  </si>
  <si>
    <t xml:space="preserve">Замена ввода системы ХВС (втора половина июня при наличии собранных д/средств)</t>
  </si>
  <si>
    <t xml:space="preserve">Ремонт МПШ кв. №277</t>
  </si>
  <si>
    <t xml:space="preserve">На основании заявления №3094/ОС от 21.09.2026</t>
  </si>
  <si>
    <t xml:space="preserve">Ремонт кровли кв.№211</t>
  </si>
  <si>
    <t xml:space="preserve">На основании акта о пролитии от 03.03.2026</t>
  </si>
  <si>
    <t xml:space="preserve">Частичный ремонт подъезда №5</t>
  </si>
  <si>
    <t xml:space="preserve">На основании заявления ГИСЖКХ №73-2026-31706 от 31.08.2026</t>
  </si>
  <si>
    <t xml:space="preserve">Ремонт МПШ кв. 85</t>
  </si>
  <si>
    <t xml:space="preserve">На основании заявления ГИСЖКХ №73-2026-27597 от 03.08.2026</t>
  </si>
  <si>
    <t xml:space="preserve">Покраска труб ограждения зеленой зоны у дома</t>
  </si>
  <si>
    <t xml:space="preserve">08.10: Снято</t>
  </si>
  <si>
    <t xml:space="preserve">Сделать откосы после установки дверей подъезд 1,2,3,4. Обследовать кровлю, чтобы по стенам не текло.</t>
  </si>
  <si>
    <t xml:space="preserve">На основании заявления №2964/ОС от 09.09.2026</t>
  </si>
  <si>
    <t xml:space="preserve">Нариманова пр-т, 108</t>
  </si>
  <si>
    <t xml:space="preserve">Замена тамбурной двери</t>
  </si>
  <si>
    <t xml:space="preserve">На основании заявления №2875/ОС от 02.09.2026</t>
  </si>
  <si>
    <t xml:space="preserve">Замена кухонного стояка по кв. №129 с 9 по 4 этаж, по кв. №131 с 9 по 1 этаж</t>
  </si>
  <si>
    <t xml:space="preserve">Закупка и установка пандусов откидных 2 шт</t>
  </si>
  <si>
    <t xml:space="preserve">срок 12.10.2026 – 19.10.2026; создана 12.10.2026</t>
  </si>
  <si>
    <t xml:space="preserve">Установка входных дверей 6 шт (Бердышев)</t>
  </si>
  <si>
    <t xml:space="preserve">На основании протокола совета дома от 15.09.2026</t>
  </si>
  <si>
    <t xml:space="preserve">Ремонт кровли в тамбуре подъеда №2</t>
  </si>
  <si>
    <t xml:space="preserve">На основании заявления №3225/ОС от 30.09.2026</t>
  </si>
  <si>
    <t xml:space="preserve">Ремонт кровли кв. №59</t>
  </si>
  <si>
    <t xml:space="preserve">На основании акта обследования от 28.09.2026</t>
  </si>
  <si>
    <t xml:space="preserve">статус расходится: Битрикс24: «В работе», а 08.10 — выполнено, акта нет</t>
  </si>
  <si>
    <t xml:space="preserve">Ремонт МПШ кв.№67</t>
  </si>
  <si>
    <t xml:space="preserve">На основании акат обследования от 16.10.2026</t>
  </si>
  <si>
    <t xml:space="preserve">срок 21.10.2026 – 27.10.2026; создана 20.10.2026</t>
  </si>
  <si>
    <t xml:space="preserve">в Битрикс24 другой адрес: «проезд Полбина, 32»</t>
  </si>
  <si>
    <t xml:space="preserve">Ремонт МПШ кв. №58</t>
  </si>
  <si>
    <t xml:space="preserve">На основании акта обследования от 12.10.2026</t>
  </si>
  <si>
    <t xml:space="preserve">срок 15.10.2026 – 21.10.2026; создана 14.10.2026</t>
  </si>
  <si>
    <t xml:space="preserve">Полбина ул, 41</t>
  </si>
  <si>
    <t xml:space="preserve">Ремонт МПШ кв. №44</t>
  </si>
  <si>
    <t xml:space="preserve">На основании акта обследования от 23.09.2026</t>
  </si>
  <si>
    <t xml:space="preserve">Полбина ул, 55</t>
  </si>
  <si>
    <t xml:space="preserve">Прочитска транзитного трубопровода (принадлежащему Теплосети), по мере накопления денежных средств</t>
  </si>
  <si>
    <t xml:space="preserve">На основании заявления №1779/ОС от 28.05.2026</t>
  </si>
  <si>
    <t xml:space="preserve">08.10: На контроле → 08.10 лист мастера: На контроле · Исполнитель 08.10: нет денег · Вазюков В.С.: нет денег</t>
  </si>
  <si>
    <t xml:space="preserve">Ремонт МПШ кв. №25,26,27,61,62,63,78,81,84,87,90</t>
  </si>
  <si>
    <t xml:space="preserve">На основании заявления №36089/ОС от 21.09.2026</t>
  </si>
  <si>
    <t xml:space="preserve">Замена стояка ХВС,ГВС кв. №73. Ремонт канализационной трубы 5-й этаж</t>
  </si>
  <si>
    <t xml:space="preserve">На основании заявления №2978/ОС от 09.09.2026</t>
  </si>
  <si>
    <t xml:space="preserve">Ремонт МПШ кв. №155</t>
  </si>
  <si>
    <t xml:space="preserve">На основании акта обследования от 22.09.2026</t>
  </si>
  <si>
    <t xml:space="preserve">Ремонт кровли лоджии кв. №96 и ливневки подъезд №3</t>
  </si>
  <si>
    <t xml:space="preserve">На основании аката обследования от 08.10.2026</t>
  </si>
  <si>
    <t xml:space="preserve">Ремонт п/сушителя и кварна ГВС в ванной в кв. №258</t>
  </si>
  <si>
    <t xml:space="preserve">На основании заявления №879/ОС от 01.10.2026</t>
  </si>
  <si>
    <t xml:space="preserve">в Битрикс24 другой адрес: «улица Пушкарёва, 74/107»</t>
  </si>
  <si>
    <t xml:space="preserve">08.10 лист мастера: В работе → 16.10 пополнение: В работе</t>
  </si>
  <si>
    <t xml:space="preserve">Ремон МПШ кв. №11,14</t>
  </si>
  <si>
    <t xml:space="preserve">На основании акта обследования от 16.09.2026</t>
  </si>
  <si>
    <t xml:space="preserve">Установка поручня на входе подъезд №4</t>
  </si>
  <si>
    <t xml:space="preserve">На основании заявления ГИС ЖКХ 73-2026-34062</t>
  </si>
  <si>
    <t xml:space="preserve">Установка кранов ХВС и ГВС для уборщицы, в подвале</t>
  </si>
  <si>
    <t xml:space="preserve">На основании заявления №2971/ОС от 09.09.2026</t>
  </si>
  <si>
    <t xml:space="preserve">Замена стояков ХВС и ГВС в кв.№25</t>
  </si>
  <si>
    <t xml:space="preserve">На основании акта пролития от 27.08.2026</t>
  </si>
  <si>
    <t xml:space="preserve">Установить расширительные баки над подъездами №3,4</t>
  </si>
  <si>
    <t xml:space="preserve">На основании заявления №73-2026-33270 от 10.09.2026</t>
  </si>
  <si>
    <t xml:space="preserve">Установка ранее демонтированного забора сзади дома и у заасфальтированной площадке</t>
  </si>
  <si>
    <t xml:space="preserve">Ремонт крыльца подъезд №1,2</t>
  </si>
  <si>
    <t xml:space="preserve">На основании заявления №829/ОС от 16.09.2026</t>
  </si>
  <si>
    <t xml:space="preserve">Ремонт кровли лоджии кв. №60</t>
  </si>
  <si>
    <t xml:space="preserve">На основании заявления №890/ОС от 06.10.2026</t>
  </si>
  <si>
    <t xml:space="preserve">16.10 пополнение: В работе</t>
  </si>
  <si>
    <t xml:space="preserve">Замена стояка водоотведения и п/сушителя кв. №42</t>
  </si>
  <si>
    <t xml:space="preserve">На основании заявления №827/ОС от 16.09.2026</t>
  </si>
  <si>
    <t xml:space="preserve">косметический ремонт потолка и стены в подъезде</t>
  </si>
  <si>
    <t xml:space="preserve">На основании заявления ГИСЖКХ №73-2026-31848 от 01.09.2026</t>
  </si>
  <si>
    <t xml:space="preserve">Замена выпуска канализации подъезд №1</t>
  </si>
  <si>
    <t xml:space="preserve">На основании протокола заседания совета дома от 15.09.2026</t>
  </si>
  <si>
    <t xml:space="preserve">Герметизация ввода ХВС внутри колодца</t>
  </si>
  <si>
    <t xml:space="preserve">На основании протокола №20260900105444 от 05.10.2026</t>
  </si>
  <si>
    <t xml:space="preserve">Установка металл. Решеток на окна в подвал</t>
  </si>
  <si>
    <t xml:space="preserve">срок 02.11.2026 – 15.10.2026 (завершение раньше начала); создана 08.10.2026</t>
  </si>
  <si>
    <t xml:space="preserve">Заказать и установить стенды для обьявлений на улицу, 4 шт. Заказать и установить стенды с кармашками (по 6 карманов), для подъезда 4 шт</t>
  </si>
  <si>
    <t xml:space="preserve">На основании заявления №3476/ОС от 20.10.2026</t>
  </si>
  <si>
    <t xml:space="preserve">срок 02.11.2026 – 30.10.2026 (завершение раньше начала); создана 23.10.2026</t>
  </si>
  <si>
    <t xml:space="preserve">Ремонт МПШ кв. №70 ( 8902 001 34 20)</t>
  </si>
  <si>
    <t xml:space="preserve">На основании акта обследования от 09.10.2026</t>
  </si>
  <si>
    <t xml:space="preserve">срок 02.11.2026 – 19.10.2026 (завершение раньше начала); создана 12.10.2026</t>
  </si>
  <si>
    <t xml:space="preserve">Верхнеполевая ул, 9/2А</t>
  </si>
  <si>
    <t xml:space="preserve">Установка поручня из трубы диаметром 25-покраска, крепление на арматуру</t>
  </si>
  <si>
    <t xml:space="preserve">На основании заявления №629/ОС от 16.07.2026</t>
  </si>
  <si>
    <t xml:space="preserve">срок 02.11.2026 – 22.10.2026 (завершение раньше начала); создана 15.10.2026</t>
  </si>
  <si>
    <t xml:space="preserve">08.10 лист мастера: В работе → 16.10 пополнение: На контроле</t>
  </si>
  <si>
    <t xml:space="preserve">Установка светильника с датчиком движения около мусоропровода на 4-м этаже</t>
  </si>
  <si>
    <t xml:space="preserve">На основании заявления №3357/ОС от 09.10.2026.</t>
  </si>
  <si>
    <t xml:space="preserve">Гагарина ул, 31/2А</t>
  </si>
  <si>
    <t xml:space="preserve">Установить светильник с датчиком движения на 4-м этаже около мусоропровода</t>
  </si>
  <si>
    <t xml:space="preserve">Заявление</t>
  </si>
  <si>
    <t xml:space="preserve">работа есть только в Битрикс24, в годовом плане 26.10 её нет</t>
  </si>
  <si>
    <t xml:space="preserve">На основании перетензии собственников</t>
  </si>
  <si>
    <t xml:space="preserve">срок 02.11.2026 – 26.10.2026 (завершение раньше начала); создана 19.10.2026</t>
  </si>
  <si>
    <t xml:space="preserve">Заделать дыру со стороны улицы, на уровне 2-го этажа кв. №5</t>
  </si>
  <si>
    <t xml:space="preserve">На основании заявления №3416/ОС от 15.10.2026</t>
  </si>
  <si>
    <t xml:space="preserve">Ремонт МПШ и фасада кв. №61</t>
  </si>
  <si>
    <t xml:space="preserve">На основании заявления №3186/ОС от 28.09.2026</t>
  </si>
  <si>
    <t xml:space="preserve">Ремонт МПШ кв. №281</t>
  </si>
  <si>
    <t xml:space="preserve">срок 02.11.2026 – 23.10.2026 (завершение раньше начала); создана 16.10.2026</t>
  </si>
  <si>
    <t xml:space="preserve">На основании протокола заседания совета дома от 23.06.2026</t>
  </si>
  <si>
    <t xml:space="preserve">На основании заявления №3211/ОС от 30.09.2026</t>
  </si>
  <si>
    <t xml:space="preserve">16.10 пополнение: Отложено на зиму</t>
  </si>
  <si>
    <t xml:space="preserve">Закупка контейнеров для мусора, 3 шт.</t>
  </si>
  <si>
    <t xml:space="preserve">На основании заявления №3256/ОС от 05.10.2026</t>
  </si>
  <si>
    <t xml:space="preserve">Замена стояка ХВС, ГВС кв. №77</t>
  </si>
  <si>
    <t xml:space="preserve">На основании заявления №2977/ОС от 09.09.2026</t>
  </si>
  <si>
    <t xml:space="preserve">срок 01.11.2026 – 30.11.2026; создана 02.10.2026</t>
  </si>
  <si>
    <t xml:space="preserve">Обследование МПШ тепловизором кв.№18</t>
  </si>
  <si>
    <t xml:space="preserve">На основании акта обследования от 22.05.2026</t>
  </si>
  <si>
    <t xml:space="preserve">Поливенская ул, 27</t>
  </si>
  <si>
    <t xml:space="preserve">Ремонт выпуска канализации</t>
  </si>
  <si>
    <t xml:space="preserve">На основани протокола №20260900120911 от 09.10.2026</t>
  </si>
  <si>
    <t xml:space="preserve">На основании протокола №20260900120911 от 09.10.2026</t>
  </si>
  <si>
    <t xml:space="preserve">16.10 пополнение: Снято</t>
  </si>
  <si>
    <t xml:space="preserve">Восстановление освещения в колясочной</t>
  </si>
  <si>
    <t xml:space="preserve">На основании заявления №3362/ОС от 12.10.2026</t>
  </si>
  <si>
    <t xml:space="preserve">Замена плитки на входах в подъезды</t>
  </si>
  <si>
    <t xml:space="preserve">На основании заявления №950/ОС от 19.10.2026</t>
  </si>
  <si>
    <t xml:space="preserve">Заменить дверь при входе в тамбур в двух подъездах</t>
  </si>
  <si>
    <t xml:space="preserve">На основании заявления №949/ОС от 19.10.2026</t>
  </si>
  <si>
    <t xml:space="preserve">Установка ВРУ</t>
  </si>
  <si>
    <t xml:space="preserve">На основании протокола №20260800123150 от 01.10.2026</t>
  </si>
  <si>
    <t xml:space="preserve">срок 01.12.2026 – 20.10.2026 (завершение раньше начала); создана 13.10.2026</t>
  </si>
  <si>
    <t xml:space="preserve">Обследование МПШ кв. №79</t>
  </si>
  <si>
    <t xml:space="preserve">На основании акта обследования от 05.02.2026 года</t>
  </si>
  <si>
    <t xml:space="preserve">срок 01.12.2026 – 31.12.2026; создана 02.10.2026</t>
  </si>
  <si>
    <t xml:space="preserve">Пушкарева ул, 48</t>
  </si>
  <si>
    <t xml:space="preserve">Обследование МПШ кв. №26</t>
  </si>
  <si>
    <t xml:space="preserve">Месяц</t>
  </si>
  <si>
    <t xml:space="preserve">Статус в трекере</t>
  </si>
  <si>
    <t xml:space="preserve">Мастер</t>
  </si>
  <si>
    <t xml:space="preserve">Что расходится</t>
  </si>
  <si>
    <t xml:space="preserve">Решение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</si>
  <si>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</si>
  <si>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</si>
  <si>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</si>
  <si>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</si>
  <si>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</si>
  <si>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Столбец «Решение» (жёлтый) заполняет ПТО или администратор трекера, например: «верно по плану», «адрес — Пушкарева 74».</t>
  </si>
  <si>
    <t xml:space="preserve">Стадия (как на странице трекера)</t>
  </si>
  <si>
    <t xml:space="preserve">Может быть просрочена</t>
  </si>
  <si>
    <t xml:space="preserve">да</t>
  </si>
  <si>
    <t xml:space="preserve">Передано исполнителю</t>
  </si>
  <si>
    <t xml:space="preserve">Материал заказан</t>
  </si>
  <si>
    <t xml:space="preserve">Вопрос капремонта</t>
  </si>
  <si>
    <t xml:space="preserve">Соответствие статусов в источниках и в трекере</t>
  </si>
  <si>
    <t xml:space="preserve">Источник</t>
  </si>
  <si>
    <t xml:space="preserve">Как записано в источнике</t>
  </si>
  <si>
    <t xml:space="preserve">Примечание</t>
  </si>
  <si>
    <t xml:space="preserve">Годовой план ПТО</t>
  </si>
  <si>
    <t xml:space="preserve">зелёная строка</t>
  </si>
  <si>
    <t xml:space="preserve">жёлтая строка, «Выполнено», «Акта нет»</t>
  </si>
  <si>
    <t xml:space="preserve">красная строка, «отмена», «отказ»</t>
  </si>
  <si>
    <t xml:space="preserve">оранжевая строка</t>
  </si>
  <si>
    <t xml:space="preserve">(исполнитель УК)</t>
  </si>
  <si>
    <t xml:space="preserve">цвет говорит об исполнителе, а не о статусе</t>
  </si>
  <si>
    <t xml:space="preserve">серая строка</t>
  </si>
  <si>
    <t xml:space="preserve">(исполнитель — Подрядчики)</t>
  </si>
  <si>
    <t xml:space="preserve">Файл исполнителей</t>
  </si>
  <si>
    <t xml:space="preserve">в столбце исполнителя «ПТО»</t>
  </si>
  <si>
    <t xml:space="preserve">в столбце исполнителя мастер или электрик</t>
  </si>
  <si>
    <t xml:space="preserve">работа своими силами</t>
  </si>
  <si>
    <t xml:space="preserve">выполнено</t>
  </si>
  <si>
    <t xml:space="preserve">пока ПТО не подтвердит акт</t>
  </si>
  <si>
    <t xml:space="preserve">в работе</t>
  </si>
  <si>
    <t xml:space="preserve">на контроле</t>
  </si>
  <si>
    <t xml:space="preserve">предложение: заменить на «В работе» с комментарием, что мешает</t>
  </si>
  <si>
    <t xml:space="preserve">зима</t>
  </si>
  <si>
    <t xml:space="preserve">отказ, отмена</t>
  </si>
  <si>
    <t xml:space="preserve">?????</t>
  </si>
  <si>
    <t xml:space="preserve">Акт в ПТО / Акта нет / как подписывать</t>
  </si>
  <si>
    <t xml:space="preserve">(поле «Акт»)</t>
  </si>
  <si>
    <t xml:space="preserve">это состояние акта, а не статус работы</t>
  </si>
  <si>
    <t xml:space="preserve">Битрикс24</t>
  </si>
  <si>
    <t xml:space="preserve">не меняет статус</t>
  </si>
  <si>
    <t xml:space="preserve">стоит и у выполненных работ — стадии не ведутся</t>
  </si>
  <si>
    <t xml:space="preserve">В работе, Просрочено, В работе. Утверждена дата</t>
  </si>
  <si>
    <t xml:space="preserve">Принято, акт есть — если есть КС-2 или зелёная строка, иначе «Выполнено, акта нет»</t>
  </si>
  <si>
    <t xml:space="preserve">смысл стадии нужно подтвердить</t>
  </si>
  <si>
    <t xml:space="preserve">Предложение по соответствию — для утверждения (вопрос о едином словаре статусов).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</si>
</sst>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dd\.mm\.yyyy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B665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ECEEF0"/>
        <bgColor rgb="FFECEEEC"/>
      </patternFill>
    </fill>
    <fill>
      <patternFill patternType="solid">
        <fgColor rgb="FFE1EBF7"/>
        <bgColor rgb="FFECEEF0"/>
      </patternFill>
    </fill>
    <fill>
      <patternFill patternType="solid">
        <fgColor rgb="FFFAF0D2"/>
        <bgColor rgb="FFFFF7D6"/>
      </patternFill>
    </fill>
    <fill>
      <patternFill patternType="solid">
        <fgColor rgb="FFE0F1E2"/>
        <bgColor rgb="FFECEEEC"/>
      </patternFill>
    </fill>
    <fill>
      <patternFill patternType="solid">
        <fgColor rgb="FFEFE8F8"/>
        <bgColor rgb="FFECEEF0"/>
      </patternFill>
    </fill>
    <fill>
      <patternFill patternType="solid">
        <fgColor rgb="FFFBE5E1"/>
        <bgColor rgb="FFFAF0D2"/>
      </patternFill>
    </fill>
    <fill>
      <patternFill patternType="solid">
        <fgColor rgb="FFFFF7D6"/>
        <bgColor rgb="FFFAF0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D6"/>
      </left>
      <right style="thin">
        <color rgb="FFD9DDD6"/>
      </right>
      <top style="thin">
        <color rgb="FFD9DDD6"/>
      </top>
      <bottom style="thin">
        <color rgb="FFD9D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color rgb="FFA3A8A4"/>
      </font>
    </dxf>
    <dxf>
      <font>
        <name val="Arial"/>
        <charset val="1"/>
        <family val="0"/>
        <b val="1"/>
        <color rgb="FFA8321F"/>
      </font>
      <fill>
        <patternFill>
          <bgColor rgb="FFFBE5E1"/>
        </patternFill>
      </fill>
    </dxf>
    <dxf>
      <font>
        <name val="Arial"/>
        <charset val="1"/>
        <family val="0"/>
        <b val="1"/>
        <color rgb="FF7F5B00"/>
      </font>
      <fill>
        <patternFill>
          <bgColor rgb="FFFAF0D2"/>
        </patternFill>
      </fill>
    </dxf>
    <dxf>
      <font>
        <name val="Arial"/>
        <charset val="1"/>
        <family val="0"/>
        <b val="1"/>
        <color rgb="FF256B30"/>
      </font>
      <fill>
        <patternFill>
          <bgColor rgb="FFE0F1E2"/>
        </patternFill>
      </fill>
    </dxf>
    <dxf>
      <font>
        <name val="Arial"/>
        <charset val="1"/>
        <family val="0"/>
        <b val="1"/>
        <color rgb="FF164F93"/>
      </font>
      <fill>
        <patternFill>
          <bgColor rgb="FFE1EBF7"/>
        </patternFill>
      </fill>
    </dxf>
    <dxf>
      <font>
        <name val="Arial"/>
        <charset val="1"/>
        <family val="0"/>
        <b val="1"/>
        <color rgb="FF4F5860"/>
      </font>
      <fill>
        <patternFill>
          <bgColor rgb="FFECEEF0"/>
        </patternFill>
      </fill>
    </dxf>
    <dxf>
      <fill>
        <patternFill patternType="solid">
          <fgColor rgb="FF1F3A4D"/>
          <bgColor rgb="FF000000"/>
        </patternFill>
      </fill>
    </dxf>
    <dxf>
      <fill>
        <patternFill patternType="solid">
          <fgColor rgb="FFE0F1E2"/>
          <bgColor rgb="FF000000"/>
        </patternFill>
      </fill>
    </dxf>
    <dxf>
      <fill>
        <patternFill patternType="solid">
          <fgColor rgb="FFE1EBF7"/>
          <bgColor rgb="FF000000"/>
        </patternFill>
      </fill>
    </dxf>
    <dxf>
      <fill>
        <patternFill patternType="solid">
          <fgColor rgb="FFECEEEC"/>
          <bgColor rgb="FF000000"/>
        </patternFill>
      </fill>
    </dxf>
    <dxf>
      <fill>
        <patternFill patternType="solid">
          <fgColor rgb="FFEFE8F8"/>
          <bgColor rgb="FF000000"/>
        </patternFill>
      </fill>
    </dxf>
    <dxf>
      <fill>
        <patternFill patternType="solid">
          <fgColor rgb="FFFAF0D2"/>
          <bgColor rgb="FF000000"/>
        </patternFill>
      </fill>
    </dxf>
    <dxf>
      <fill>
        <patternFill patternType="solid">
          <fgColor rgb="FFFBE5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>
          <bgColor rgb="FFE1EBF7"/>
        </patternFill>
      </fill>
    </dxf>
    <dxf>
      <fill>
        <patternFill>
          <bgColor rgb="FFFAF0D2"/>
        </patternFill>
      </fill>
    </dxf>
    <dxf>
      <fill>
        <patternFill>
          <bgColor rgb="FFE0F1E2"/>
        </patternFill>
      </fill>
    </dxf>
    <dxf>
      <fill>
        <patternFill>
          <bgColor rgb="FFEFE8F8"/>
        </patternFill>
      </fill>
    </dxf>
    <dxf>
      <fill>
        <patternFill>
          <bgColor rgb="FFFBE5E1"/>
        </patternFill>
      </fill>
    </dxf>
    <dxf>
      <fill>
        <patternFill>
          <bgColor rgb="FFECEEEC"/>
        </patternFill>
      </fill>
    </dxf>
    <dxf>
      <fill>
        <patternFill patternType="solid">
          <fgColor rgb="FFFFF7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56B30"/>
      <rgbColor rgb="FF000080"/>
      <rgbColor rgb="FF7F5B00"/>
      <rgbColor rgb="FF800080"/>
      <rgbColor rgb="FF008080"/>
      <rgbColor rgb="FFEFE8F8"/>
      <rgbColor rgb="FF4F5860"/>
      <rgbColor rgb="FF9999FF"/>
      <rgbColor rgb="FFC0392B"/>
      <rgbColor rgb="FFFFF7D6"/>
      <rgbColor rgb="FFE1EBF7"/>
      <rgbColor rgb="FF660066"/>
      <rgbColor rgb="FFFF8080"/>
      <rgbColor rgb="FF0066CC"/>
      <rgbColor rgb="FFD9DD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EF0"/>
      <rgbColor rgb="FFE0F1E2"/>
      <rgbColor rgb="FFFAF0D2"/>
      <rgbColor rgb="FFECEEEC"/>
      <rgbColor rgb="FFFF99CC"/>
      <rgbColor rgb="FFCC99FF"/>
      <rgbColor rgb="FFFBE5E1"/>
      <rgbColor rgb="FF3366FF"/>
      <rgbColor rgb="FF33CCCC"/>
      <rgbColor rgb="FF99CC00"/>
      <rgbColor rgb="FFFFCC00"/>
      <rgbColor rgb="FFFF9900"/>
      <rgbColor rgb="FFFF6600"/>
      <rgbColor rgb="FF5B665F"/>
      <rgbColor rgb="FFA3A8A4"/>
      <rgbColor rgb="FF003366"/>
      <rgbColor rgb="FF339966"/>
      <rgbColor rgb="FF003300"/>
      <rgbColor rgb="FF333300"/>
      <rgbColor rgb="FFA8321F"/>
      <rgbColor rgb="FF993366"/>
      <rgbColor rgb="FF164F93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1"/>
    <col collapsed="false" customWidth="true" hidden="false" outlineLevel="0" max="11" min="9" style="0" width="13"/>
    <col collapsed="false" customWidth="true" hidden="false" outlineLevel="0" max="12" min="12" style="0" width="15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7" customFormat="false" ht="23.85" hidden="false" customHeight="true" outlineLevel="0" collapsed="false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/>
      <c r="G7" s="5"/>
      <c r="H7" s="5"/>
      <c r="I7" s="5" t="s">
        <v>9</v>
      </c>
      <c r="J7" s="5"/>
      <c r="K7" s="5"/>
      <c r="L7" s="5"/>
    </row>
    <row r="8" customFormat="false" ht="27.75" hidden="false" customHeight="true" outlineLevel="0" collapsed="false">
      <c r="A8" s="6" t="s">
        <v>10</v>
      </c>
      <c r="B8" s="7" t="n">
        <f aca="false">COUNTIF(Работы!$M$2:$M$450,"Не начато")</f>
        <v>108</v>
      </c>
      <c r="C8" s="8" t="n">
        <f aca="false">IF($B$14=0,0,B8/$B$14)</f>
        <v>0.246013667425968</v>
      </c>
      <c r="D8" s="9" t="n">
        <f aca="false">COUNTIFS(Работы!$M$2:$M$450,"Не начато",Работы!$P$2:$P$450,"&gt;0")</f>
        <v>75</v>
      </c>
      <c r="E8" s="10" t="s">
        <v>11</v>
      </c>
      <c r="F8" s="10"/>
      <c r="G8" s="10"/>
      <c r="H8" s="10"/>
      <c r="I8" s="10" t="s">
        <v>12</v>
      </c>
      <c r="J8" s="10"/>
      <c r="K8" s="10"/>
      <c r="L8" s="10"/>
    </row>
    <row r="9" customFormat="false" ht="27.75" hidden="false" customHeight="true" outlineLevel="0" collapsed="false">
      <c r="A9" s="11" t="s">
        <v>13</v>
      </c>
      <c r="B9" s="7" t="n">
        <f aca="false">COUNTIF(Работы!$M$2:$M$450,"В работе")</f>
        <v>36</v>
      </c>
      <c r="C9" s="8" t="n">
        <f aca="false">IF($B$14=0,0,B9/$B$14)</f>
        <v>0.082004555808656</v>
      </c>
      <c r="D9" s="9" t="n">
        <f aca="false">COUNTIFS(Работы!$M$2:$M$450,"В работе",Работы!$P$2:$P$450,"&gt;0")</f>
        <v>20</v>
      </c>
      <c r="E9" s="10" t="s">
        <v>14</v>
      </c>
      <c r="F9" s="10"/>
      <c r="G9" s="10"/>
      <c r="H9" s="10"/>
      <c r="I9" s="10" t="s">
        <v>15</v>
      </c>
      <c r="J9" s="10"/>
      <c r="K9" s="10"/>
      <c r="L9" s="10"/>
    </row>
    <row r="10" customFormat="false" ht="27.75" hidden="false" customHeight="true" outlineLevel="0" collapsed="false">
      <c r="A10" s="12" t="s">
        <v>16</v>
      </c>
      <c r="B10" s="7" t="n">
        <f aca="false">COUNTIF(Работы!$M$2:$M$450,"Выполнено, ждёт акта")</f>
        <v>160</v>
      </c>
      <c r="C10" s="8" t="n">
        <f aca="false">IF($B$14=0,0,B10/$B$14)</f>
        <v>0.364464692482916</v>
      </c>
      <c r="D10" s="9" t="n">
        <f aca="true">COUNTIFS(Работы!$M$2:$M$450,"Выполнено, ждёт акта",Работы!$C$2:$C$450,"&lt;"&amp;TODAY())</f>
        <v>145</v>
      </c>
      <c r="E10" s="10" t="s">
        <v>17</v>
      </c>
      <c r="F10" s="10"/>
      <c r="G10" s="10"/>
      <c r="H10" s="10"/>
      <c r="I10" s="10" t="s">
        <v>18</v>
      </c>
      <c r="J10" s="10"/>
      <c r="K10" s="10"/>
      <c r="L10" s="10"/>
    </row>
    <row r="11" customFormat="false" ht="27.75" hidden="false" customHeight="true" outlineLevel="0" collapsed="false">
      <c r="A11" s="13" t="s">
        <v>19</v>
      </c>
      <c r="B11" s="7" t="n">
        <f aca="false">COUNTIF(Работы!$M$2:$M$450,"Принято с актом")</f>
        <v>110</v>
      </c>
      <c r="C11" s="8" t="n">
        <f aca="false">IF($B$14=0,0,B11/$B$14)</f>
        <v>0.250569476082005</v>
      </c>
      <c r="D11" s="9"/>
      <c r="E11" s="10" t="s">
        <v>20</v>
      </c>
      <c r="F11" s="10"/>
      <c r="G11" s="10"/>
      <c r="H11" s="10"/>
      <c r="I11" s="10" t="s">
        <v>21</v>
      </c>
      <c r="J11" s="10"/>
      <c r="K11" s="10"/>
      <c r="L11" s="10"/>
    </row>
    <row r="12" customFormat="false" ht="27.75" hidden="false" customHeight="true" outlineLevel="0" collapsed="false">
      <c r="A12" s="14" t="s">
        <v>22</v>
      </c>
      <c r="B12" s="7" t="n">
        <f aca="false">COUNTIF(Работы!$M$2:$M$450,"Отложено на зиму")</f>
        <v>9</v>
      </c>
      <c r="C12" s="8" t="n">
        <f aca="false">IF($B$14=0,0,B12/$B$14)</f>
        <v>0.020501138952164</v>
      </c>
      <c r="D12" s="9"/>
      <c r="E12" s="10" t="s">
        <v>20</v>
      </c>
      <c r="F12" s="10"/>
      <c r="G12" s="10"/>
      <c r="H12" s="10"/>
      <c r="I12" s="10" t="s">
        <v>23</v>
      </c>
      <c r="J12" s="10"/>
      <c r="K12" s="10"/>
      <c r="L12" s="10"/>
    </row>
    <row r="13" customFormat="false" ht="27.75" hidden="false" customHeight="true" outlineLevel="0" collapsed="false">
      <c r="A13" s="15" t="s">
        <v>24</v>
      </c>
      <c r="B13" s="7" t="n">
        <f aca="false">COUNTIF(Работы!$M$2:$M$450,"Нужно решение")</f>
        <v>16</v>
      </c>
      <c r="C13" s="8" t="n">
        <f aca="false">IF($B$14=0,0,B13/$B$14)</f>
        <v>0.0364464692482916</v>
      </c>
      <c r="D13" s="9" t="n">
        <f aca="false">COUNTIFS(Работы!$M$2:$M$450,"Нужно решение",Работы!$P$2:$P$450,"&gt;0")</f>
        <v>12</v>
      </c>
      <c r="E13" s="10" t="s">
        <v>11</v>
      </c>
      <c r="F13" s="10"/>
      <c r="G13" s="10"/>
      <c r="H13" s="10"/>
      <c r="I13" s="10" t="s">
        <v>25</v>
      </c>
      <c r="J13" s="10"/>
      <c r="K13" s="10"/>
      <c r="L13" s="10"/>
    </row>
    <row r="14" customFormat="false" ht="27.75" hidden="false" customHeight="true" outlineLevel="0" collapsed="false">
      <c r="A14" s="16" t="s">
        <v>26</v>
      </c>
      <c r="B14" s="7" t="n">
        <f aca="false">SUM(B8:B13)</f>
        <v>439</v>
      </c>
      <c r="C14" s="8" t="n">
        <f aca="false">IF(B14=0,0,1)</f>
        <v>1</v>
      </c>
      <c r="D14" s="7" t="n">
        <f aca="false">COUNTIF(Работы!$P$2:$P$450,"&gt;0")</f>
        <v>107</v>
      </c>
      <c r="E14" s="10" t="s">
        <v>27</v>
      </c>
      <c r="F14" s="10"/>
      <c r="G14" s="10"/>
      <c r="H14" s="10"/>
      <c r="I14" s="10" t="s">
        <v>28</v>
      </c>
      <c r="J14" s="10"/>
      <c r="K14" s="10"/>
      <c r="L14" s="10"/>
    </row>
    <row r="15" customFormat="false" ht="15" hidden="false" customHeight="true" outlineLevel="0" collapsed="false">
      <c r="A15" s="10" t="s">
        <v>29</v>
      </c>
      <c r="B15" s="9" t="n">
        <f aca="false">COUNTIF(Работы!$M$2:$M$450,"Снято с плана")</f>
        <v>10</v>
      </c>
      <c r="C15" s="10"/>
      <c r="D15" s="10"/>
      <c r="E15" s="10"/>
      <c r="F15" s="10"/>
      <c r="G15" s="10"/>
      <c r="H15" s="10"/>
      <c r="I15" s="10" t="s">
        <v>30</v>
      </c>
      <c r="J15" s="10"/>
      <c r="K15" s="10"/>
      <c r="L15" s="10"/>
    </row>
    <row r="17" customFormat="false" ht="15" hidden="false" customHeight="false" outlineLevel="0" collapsed="false">
      <c r="A17" s="5" t="s">
        <v>31</v>
      </c>
      <c r="B17" s="5" t="s">
        <v>32</v>
      </c>
      <c r="C17" s="5" t="s">
        <v>6</v>
      </c>
    </row>
    <row r="18" customFormat="false" ht="15" hidden="false" customHeight="false" outlineLevel="0" collapsed="false">
      <c r="A18" s="10" t="s">
        <v>33</v>
      </c>
      <c r="B18" s="7" t="n">
        <f aca="false">B10+B11</f>
        <v>270</v>
      </c>
      <c r="C18" s="17" t="n">
        <f aca="false">IF($B$14=0,0,B18/$B$14)</f>
        <v>0.61503416856492</v>
      </c>
    </row>
    <row r="19" customFormat="false" ht="15" hidden="false" customHeight="false" outlineLevel="0" collapsed="false">
      <c r="A19" s="10" t="s">
        <v>19</v>
      </c>
      <c r="B19" s="7" t="n">
        <f aca="false">B11</f>
        <v>110</v>
      </c>
      <c r="C19" s="17" t="n">
        <f aca="false">IF($B$14=0,0,B19/$B$14)</f>
        <v>0.250569476082005</v>
      </c>
    </row>
    <row r="20" customFormat="false" ht="15" hidden="false" customHeight="false" outlineLevel="0" collapsed="false">
      <c r="A20" s="10" t="s">
        <v>34</v>
      </c>
      <c r="B20" s="7" t="n">
        <f aca="false">SUMIFS(Работы!$I$2:$I$450,Работы!$M$2:$M$450,"&lt;&gt;Снято с плана")</f>
        <v>36886631.15</v>
      </c>
      <c r="C20" s="17"/>
    </row>
    <row r="21" customFormat="false" ht="15" hidden="false" customHeight="false" outlineLevel="0" collapsed="false">
      <c r="A21" s="10" t="s">
        <v>35</v>
      </c>
      <c r="B21" s="7" t="n">
        <f aca="false">SUMIFS(Работы!$J$2:$J$450,Работы!$M$2:$M$450,"&lt;&gt;Снято с плана")</f>
        <v>19306391.66</v>
      </c>
      <c r="C21" s="17"/>
    </row>
    <row r="22" customFormat="false" ht="15" hidden="false" customHeight="false" outlineLevel="0" collapsed="false">
      <c r="A22" s="10" t="s">
        <v>36</v>
      </c>
      <c r="B22" s="7" t="n">
        <f aca="false">B14-COUNTIFS(Работы!$M$2:$M$450,"&lt;&gt;Снято с плана",Работы!$I$2:$I$450,"&gt;0")</f>
        <v>176</v>
      </c>
      <c r="C22" s="17"/>
    </row>
    <row r="24" customFormat="false" ht="15" hidden="false" customHeight="false" outlineLevel="0" collapsed="false">
      <c r="A24" s="3" t="s">
        <v>37</v>
      </c>
    </row>
    <row r="25" customFormat="false" ht="15" hidden="false" customHeight="false" outlineLevel="0" collapsed="false">
      <c r="A25" s="4" t="s">
        <v>38</v>
      </c>
    </row>
    <row r="27" customFormat="false" ht="15" hidden="false" customHeight="true" outlineLevel="0" collapsed="false">
      <c r="A27" s="5" t="s">
        <v>39</v>
      </c>
      <c r="B27" s="5" t="s">
        <v>5</v>
      </c>
      <c r="C27" s="5" t="s">
        <v>40</v>
      </c>
      <c r="D27" s="5"/>
      <c r="E27" s="5" t="s">
        <v>41</v>
      </c>
      <c r="F27" s="5"/>
      <c r="G27" s="5"/>
      <c r="H27" s="5"/>
      <c r="I27" s="5" t="s">
        <v>42</v>
      </c>
      <c r="J27" s="5"/>
      <c r="K27" s="5"/>
      <c r="L27" s="5"/>
    </row>
    <row r="28" customFormat="false" ht="27.75" hidden="false" customHeight="true" outlineLevel="0" collapsed="false">
      <c r="A28" s="16" t="s">
        <v>43</v>
      </c>
      <c r="B28" s="7" t="n">
        <f aca="false">COUNTIFS(Работы!$M$2:$M$450,"Не начато",Работы!$P$2:$P$450,"&gt;0")</f>
        <v>75</v>
      </c>
      <c r="C28" s="18" t="s">
        <v>44</v>
      </c>
      <c r="D28" s="18"/>
      <c r="E28" s="10" t="s">
        <v>45</v>
      </c>
      <c r="F28" s="10"/>
      <c r="G28" s="10"/>
      <c r="H28" s="10"/>
      <c r="I28" s="10" t="s">
        <v>46</v>
      </c>
      <c r="J28" s="10"/>
      <c r="K28" s="10"/>
      <c r="L28" s="10"/>
    </row>
    <row r="29" customFormat="false" ht="27.75" hidden="false" customHeight="true" outlineLevel="0" collapsed="false">
      <c r="A29" s="16" t="s">
        <v>47</v>
      </c>
      <c r="B29" s="7" t="n">
        <f aca="false">COUNTIFS(Работы!$M$2:$M$450,"В работе",Работы!$P$2:$P$450,"&gt;0")</f>
        <v>20</v>
      </c>
      <c r="C29" s="18" t="s">
        <v>44</v>
      </c>
      <c r="D29" s="18"/>
      <c r="E29" s="10" t="s">
        <v>48</v>
      </c>
      <c r="F29" s="10"/>
      <c r="G29" s="10"/>
      <c r="H29" s="10"/>
      <c r="I29" s="10" t="s">
        <v>49</v>
      </c>
      <c r="J29" s="10"/>
      <c r="K29" s="10"/>
      <c r="L29" s="10"/>
    </row>
    <row r="30" customFormat="false" ht="27.75" hidden="false" customHeight="true" outlineLevel="0" collapsed="false">
      <c r="A30" s="16" t="s">
        <v>50</v>
      </c>
      <c r="B30" s="7" t="n">
        <f aca="false">COUNTIF(Работы!$M$2:$M$450,"Нужно решение")</f>
        <v>16</v>
      </c>
      <c r="C30" s="18" t="s">
        <v>44</v>
      </c>
      <c r="D30" s="18"/>
      <c r="E30" s="10" t="s">
        <v>51</v>
      </c>
      <c r="F30" s="10"/>
      <c r="G30" s="10"/>
      <c r="H30" s="10"/>
      <c r="I30" s="10" t="s">
        <v>52</v>
      </c>
      <c r="J30" s="10"/>
      <c r="K30" s="10"/>
      <c r="L30" s="10"/>
    </row>
    <row r="31" customFormat="false" ht="27.75" hidden="false" customHeight="true" outlineLevel="0" collapsed="false">
      <c r="A31" s="16" t="s">
        <v>53</v>
      </c>
      <c r="B31" s="7" t="n">
        <f aca="true">COUNTIFS(Работы!$M$2:$M$450,"Выполнено, ждёт акта",Работы!$C$2:$C$450,"&lt;"&amp;TODAY())</f>
        <v>145</v>
      </c>
      <c r="C31" s="19" t="s">
        <v>54</v>
      </c>
      <c r="D31" s="19"/>
      <c r="E31" s="10" t="s">
        <v>55</v>
      </c>
      <c r="F31" s="10"/>
      <c r="G31" s="10"/>
      <c r="H31" s="10"/>
      <c r="I31" s="10" t="s">
        <v>56</v>
      </c>
      <c r="J31" s="10"/>
      <c r="K31" s="10"/>
      <c r="L31" s="10"/>
    </row>
    <row r="32" customFormat="false" ht="27.75" hidden="false" customHeight="true" outlineLevel="0" collapsed="false">
      <c r="A32" s="16" t="s">
        <v>57</v>
      </c>
      <c r="B32" s="7" t="n">
        <f aca="false">COUNTIFS(Работы!$L$2:$L$450,"(не назначен)",Работы!$M$2:$M$450,"Не начато")+COUNTIFS(Работы!$L$2:$L$450,"(не назначен)",Работы!$M$2:$M$450,"В работе")+COUNTIFS(Работы!$L$2:$L$450,"(не назначен)",Работы!$M$2:$M$450,"Нужно решение")</f>
        <v>58</v>
      </c>
      <c r="C32" s="19" t="s">
        <v>54</v>
      </c>
      <c r="D32" s="19"/>
      <c r="E32" s="10" t="s">
        <v>58</v>
      </c>
      <c r="F32" s="10"/>
      <c r="G32" s="10"/>
      <c r="H32" s="10"/>
      <c r="I32" s="10" t="s">
        <v>59</v>
      </c>
      <c r="J32" s="10"/>
      <c r="K32" s="10"/>
      <c r="L32" s="10"/>
    </row>
    <row r="33" customFormat="false" ht="27.75" hidden="false" customHeight="true" outlineLevel="0" collapsed="false">
      <c r="A33" s="16" t="s">
        <v>60</v>
      </c>
      <c r="B33" s="7" t="n">
        <f aca="false">COUNTIFS(Работы!$K$2:$K$450,"Не распределено",Работы!$M$2:$M$450,"Не начато")+COUNTIFS(Работы!$K$2:$K$450,"Не распределено",Работы!$M$2:$M$450,"В работе")+COUNTIFS(Работы!$K$2:$K$450,"Не распределено",Работы!$M$2:$M$450,"Нужно решение")</f>
        <v>23</v>
      </c>
      <c r="C33" s="19" t="s">
        <v>54</v>
      </c>
      <c r="D33" s="19"/>
      <c r="E33" s="10" t="s">
        <v>61</v>
      </c>
      <c r="F33" s="10"/>
      <c r="G33" s="10"/>
      <c r="H33" s="10"/>
      <c r="I33" s="10" t="s">
        <v>62</v>
      </c>
      <c r="J33" s="10"/>
      <c r="K33" s="10"/>
      <c r="L33" s="10"/>
    </row>
    <row r="34" customFormat="false" ht="27.75" hidden="false" customHeight="true" outlineLevel="0" collapsed="false">
      <c r="A34" s="16" t="s">
        <v>63</v>
      </c>
      <c r="B34" s="7" t="n">
        <f aca="false">COUNTIF(Работы!$S$2:$S$450,"?*")</f>
        <v>31</v>
      </c>
      <c r="C34" s="20" t="s">
        <v>64</v>
      </c>
      <c r="D34" s="20"/>
      <c r="E34" s="10" t="s">
        <v>65</v>
      </c>
      <c r="F34" s="10"/>
      <c r="G34" s="10"/>
      <c r="H34" s="10"/>
      <c r="I34" s="10" t="s">
        <v>66</v>
      </c>
      <c r="J34" s="10"/>
      <c r="K34" s="10"/>
      <c r="L34" s="10"/>
    </row>
    <row r="35" customFormat="false" ht="27.75" hidden="false" customHeight="true" outlineLevel="0" collapsed="false">
      <c r="A35" s="16" t="s">
        <v>67</v>
      </c>
      <c r="B35" s="7" t="n">
        <f aca="false">COUNTIFS(Работы!$M$2:$M$450,"Выполнено, ждёт акта",Работы!$Q$2:$Q$450,"Запланировано")+COUNTIFS(Работы!$M$2:$M$450,"Принято с актом",Работы!$Q$2:$Q$450,"Запланировано")</f>
        <v>123</v>
      </c>
      <c r="C35" s="20" t="s">
        <v>64</v>
      </c>
      <c r="D35" s="20"/>
      <c r="E35" s="10" t="s">
        <v>68</v>
      </c>
      <c r="F35" s="10"/>
      <c r="G35" s="10"/>
      <c r="H35" s="10"/>
      <c r="I35" s="10" t="s">
        <v>69</v>
      </c>
      <c r="J35" s="10"/>
      <c r="K35" s="10"/>
      <c r="L35" s="10"/>
    </row>
    <row r="37" customFormat="false" ht="15" hidden="false" customHeight="false" outlineLevel="0" collapsed="false">
      <c r="A37" s="3" t="s">
        <v>70</v>
      </c>
    </row>
    <row r="38" customFormat="false" ht="15" hidden="false" customHeight="false" outlineLevel="0" collapsed="false">
      <c r="A38" s="4" t="s">
        <v>71</v>
      </c>
    </row>
    <row r="40" customFormat="false" ht="30" hidden="false" customHeight="true" outlineLevel="0" collapsed="false">
      <c r="A40" s="5" t="s">
        <v>72</v>
      </c>
      <c r="B40" s="5" t="s">
        <v>73</v>
      </c>
      <c r="C40" s="5" t="s">
        <v>10</v>
      </c>
      <c r="D40" s="5" t="s">
        <v>13</v>
      </c>
      <c r="E40" s="5" t="s">
        <v>74</v>
      </c>
      <c r="F40" s="5" t="s">
        <v>75</v>
      </c>
      <c r="G40" s="5" t="s">
        <v>76</v>
      </c>
      <c r="H40" s="5" t="s">
        <v>24</v>
      </c>
      <c r="I40" s="5" t="s">
        <v>77</v>
      </c>
      <c r="J40" s="5" t="s">
        <v>78</v>
      </c>
      <c r="K40" s="5" t="s">
        <v>79</v>
      </c>
      <c r="L40" s="5" t="s">
        <v>80</v>
      </c>
    </row>
    <row r="41" customFormat="false" ht="15" hidden="false" customHeight="false" outlineLevel="0" collapsed="false">
      <c r="A41" s="16" t="s">
        <v>81</v>
      </c>
      <c r="B41" s="9" t="n">
        <f aca="false">COUNTIFS(Работы!$B$2:$B$450,"Февраль 2026",Работы!$M$2:$M$450,"&lt;&gt;Снято с плана")</f>
        <v>7</v>
      </c>
      <c r="C41" s="9" t="n">
        <f aca="false">COUNTIFS(Работы!$B$2:$B$450,"Февраль 2026",Работы!$M$2:$M$450,"Не начато")</f>
        <v>0</v>
      </c>
      <c r="D41" s="9" t="n">
        <f aca="false">COUNTIFS(Работы!$B$2:$B$450,"Февраль 2026",Работы!$M$2:$M$450,"В работе")</f>
        <v>0</v>
      </c>
      <c r="E41" s="9" t="n">
        <f aca="false">COUNTIFS(Работы!$B$2:$B$450,"Февраль 2026",Работы!$M$2:$M$450,"Выполнено, ждёт акта")</f>
        <v>2</v>
      </c>
      <c r="F41" s="9" t="n">
        <f aca="false">COUNTIFS(Работы!$B$2:$B$450,"Февраль 2026",Работы!$M$2:$M$450,"Принято с актом")</f>
        <v>5</v>
      </c>
      <c r="G41" s="9" t="n">
        <f aca="false">COUNTIFS(Работы!$B$2:$B$450,"Февраль 2026",Работы!$M$2:$M$450,"Отложено на зиму")</f>
        <v>0</v>
      </c>
      <c r="H41" s="9" t="n">
        <f aca="false">COUNTIFS(Работы!$B$2:$B$450,"Февраль 2026",Работы!$M$2:$M$450,"Нужно решение")</f>
        <v>0</v>
      </c>
      <c r="I41" s="7" t="n">
        <f aca="false">COUNTIFS(Работы!$B$2:$B$450,"Февраль 2026",Работы!$P$2:$P$450,"&gt;0")</f>
        <v>0</v>
      </c>
      <c r="J41" s="17" t="n">
        <f aca="false">IF(B41=0,"",(E41+F41)/B41)</f>
        <v>1</v>
      </c>
      <c r="K41" s="8" t="n">
        <f aca="false">IF(B41=0,"",F41/B41)</f>
        <v>0.714285714285714</v>
      </c>
      <c r="L41" s="7" t="str">
        <f aca="true">IF(DATE(2026,2,28)&lt;TODAY(),IF(C41+D41+H41&gt;0,"просрочен",IF(E41&gt;0,"без акта "&amp;E41,"закрыт")),IF(DATE(2026,2,1)&lt;=TODAY(),"идёт сейчас","впереди"))</f>
        <v>без акта 2</v>
      </c>
    </row>
    <row r="42" customFormat="false" ht="15" hidden="false" customHeight="false" outlineLevel="0" collapsed="false">
      <c r="A42" s="16" t="s">
        <v>82</v>
      </c>
      <c r="B42" s="9" t="n">
        <f aca="false">COUNTIFS(Работы!$B$2:$B$450,"Март 2026",Работы!$M$2:$M$450,"&lt;&gt;Снято с плана")</f>
        <v>2</v>
      </c>
      <c r="C42" s="9" t="n">
        <f aca="false">COUNTIFS(Работы!$B$2:$B$450,"Март 2026",Работы!$M$2:$M$450,"Не начато")</f>
        <v>0</v>
      </c>
      <c r="D42" s="9" t="n">
        <f aca="false">COUNTIFS(Работы!$B$2:$B$450,"Март 2026",Работы!$M$2:$M$450,"В работе")</f>
        <v>0</v>
      </c>
      <c r="E42" s="9" t="n">
        <f aca="false">COUNTIFS(Работы!$B$2:$B$450,"Март 2026",Работы!$M$2:$M$450,"Выполнено, ждёт акта")</f>
        <v>0</v>
      </c>
      <c r="F42" s="9" t="n">
        <f aca="false">COUNTIFS(Работы!$B$2:$B$450,"Март 2026",Работы!$M$2:$M$450,"Принято с актом")</f>
        <v>2</v>
      </c>
      <c r="G42" s="9" t="n">
        <f aca="false">COUNTIFS(Работы!$B$2:$B$450,"Март 2026",Работы!$M$2:$M$450,"Отложено на зиму")</f>
        <v>0</v>
      </c>
      <c r="H42" s="9" t="n">
        <f aca="false">COUNTIFS(Работы!$B$2:$B$450,"Март 2026",Работы!$M$2:$M$450,"Нужно решение")</f>
        <v>0</v>
      </c>
      <c r="I42" s="7" t="n">
        <f aca="false">COUNTIFS(Работы!$B$2:$B$450,"Март 2026",Работы!$P$2:$P$450,"&gt;0")</f>
        <v>0</v>
      </c>
      <c r="J42" s="17" t="n">
        <f aca="false">IF(B42=0,"",(E42+F42)/B42)</f>
        <v>1</v>
      </c>
      <c r="K42" s="8" t="n">
        <f aca="false">IF(B42=0,"",F42/B42)</f>
        <v>1</v>
      </c>
      <c r="L42" s="7" t="str">
        <f aca="true">IF(DATE(2026,3,31)&lt;TODAY(),IF(C42+D42+H42&gt;0,"просрочен",IF(E42&gt;0,"без акта "&amp;E42,"закрыт")),IF(DATE(2026,3,1)&lt;=TODAY(),"идёт сейчас","впереди"))</f>
        <v>закрыт</v>
      </c>
    </row>
    <row r="43" customFormat="false" ht="15" hidden="false" customHeight="false" outlineLevel="0" collapsed="false">
      <c r="A43" s="16" t="s">
        <v>83</v>
      </c>
      <c r="B43" s="9" t="n">
        <f aca="false">COUNTIFS(Работы!$B$2:$B$450,"Апрель 2026",Работы!$M$2:$M$450,"&lt;&gt;Снято с плана")</f>
        <v>10</v>
      </c>
      <c r="C43" s="9" t="n">
        <f aca="false">COUNTIFS(Работы!$B$2:$B$450,"Апрель 2026",Работы!$M$2:$M$450,"Не начато")</f>
        <v>0</v>
      </c>
      <c r="D43" s="9" t="n">
        <f aca="false">COUNTIFS(Работы!$B$2:$B$450,"Апрель 2026",Работы!$M$2:$M$450,"В работе")</f>
        <v>0</v>
      </c>
      <c r="E43" s="9" t="n">
        <f aca="false">COUNTIFS(Работы!$B$2:$B$450,"Апрель 2026",Работы!$M$2:$M$450,"Выполнено, ждёт акта")</f>
        <v>3</v>
      </c>
      <c r="F43" s="9" t="n">
        <f aca="false">COUNTIFS(Работы!$B$2:$B$450,"Апрель 2026",Работы!$M$2:$M$450,"Принято с актом")</f>
        <v>7</v>
      </c>
      <c r="G43" s="9" t="n">
        <f aca="false">COUNTIFS(Работы!$B$2:$B$450,"Апрель 2026",Работы!$M$2:$M$450,"Отложено на зиму")</f>
        <v>0</v>
      </c>
      <c r="H43" s="9" t="n">
        <f aca="false">COUNTIFS(Работы!$B$2:$B$450,"Апрель 2026",Работы!$M$2:$M$450,"Нужно решение")</f>
        <v>0</v>
      </c>
      <c r="I43" s="7" t="n">
        <f aca="false">COUNTIFS(Работы!$B$2:$B$450,"Апрель 2026",Работы!$P$2:$P$450,"&gt;0")</f>
        <v>0</v>
      </c>
      <c r="J43" s="17" t="n">
        <f aca="false">IF(B43=0,"",(E43+F43)/B43)</f>
        <v>1</v>
      </c>
      <c r="K43" s="8" t="n">
        <f aca="false">IF(B43=0,"",F43/B43)</f>
        <v>0.7</v>
      </c>
      <c r="L43" s="7" t="str">
        <f aca="true">IF(DATE(2026,4,30)&lt;TODAY(),IF(C43+D43+H43&gt;0,"просрочен",IF(E43&gt;0,"без акта "&amp;E43,"закрыт")),IF(DATE(2026,4,1)&lt;=TODAY(),"идёт сейчас","впереди"))</f>
        <v>без акта 3</v>
      </c>
    </row>
    <row r="44" customFormat="false" ht="15" hidden="false" customHeight="false" outlineLevel="0" collapsed="false">
      <c r="A44" s="16" t="s">
        <v>84</v>
      </c>
      <c r="B44" s="9" t="n">
        <f aca="false">COUNTIFS(Работы!$B$2:$B$450,"Май 2026",Работы!$M$2:$M$450,"&lt;&gt;Снято с плана")</f>
        <v>20</v>
      </c>
      <c r="C44" s="9" t="n">
        <f aca="false">COUNTIFS(Работы!$B$2:$B$450,"Май 2026",Работы!$M$2:$M$450,"Не начато")</f>
        <v>0</v>
      </c>
      <c r="D44" s="9" t="n">
        <f aca="false">COUNTIFS(Работы!$B$2:$B$450,"Май 2026",Работы!$M$2:$M$450,"В работе")</f>
        <v>0</v>
      </c>
      <c r="E44" s="9" t="n">
        <f aca="false">COUNTIFS(Работы!$B$2:$B$450,"Май 2026",Работы!$M$2:$M$450,"Выполнено, ждёт акта")</f>
        <v>8</v>
      </c>
      <c r="F44" s="9" t="n">
        <f aca="false">COUNTIFS(Работы!$B$2:$B$450,"Май 2026",Работы!$M$2:$M$450,"Принято с актом")</f>
        <v>12</v>
      </c>
      <c r="G44" s="9" t="n">
        <f aca="false">COUNTIFS(Работы!$B$2:$B$450,"Май 2026",Работы!$M$2:$M$450,"Отложено на зиму")</f>
        <v>0</v>
      </c>
      <c r="H44" s="9" t="n">
        <f aca="false">COUNTIFS(Работы!$B$2:$B$450,"Май 2026",Работы!$M$2:$M$450,"Нужно решение")</f>
        <v>0</v>
      </c>
      <c r="I44" s="7" t="n">
        <f aca="false">COUNTIFS(Работы!$B$2:$B$450,"Май 2026",Работы!$P$2:$P$450,"&gt;0")</f>
        <v>0</v>
      </c>
      <c r="J44" s="17" t="n">
        <f aca="false">IF(B44=0,"",(E44+F44)/B44)</f>
        <v>1</v>
      </c>
      <c r="K44" s="8" t="n">
        <f aca="false">IF(B44=0,"",F44/B44)</f>
        <v>0.6</v>
      </c>
      <c r="L44" s="7" t="str">
        <f aca="true">IF(DATE(2026,5,31)&lt;TODAY(),IF(C44+D44+H44&gt;0,"просрочен",IF(E44&gt;0,"без акта "&amp;E44,"закрыт")),IF(DATE(2026,5,1)&lt;=TODAY(),"идёт сейчас","впереди"))</f>
        <v>без акта 8</v>
      </c>
    </row>
    <row r="45" customFormat="false" ht="15" hidden="false" customHeight="false" outlineLevel="0" collapsed="false">
      <c r="A45" s="16" t="s">
        <v>85</v>
      </c>
      <c r="B45" s="9" t="n">
        <f aca="false">COUNTIFS(Работы!$B$2:$B$450,"Июнь 2026",Работы!$M$2:$M$450,"&lt;&gt;Снято с плана")</f>
        <v>22</v>
      </c>
      <c r="C45" s="9" t="n">
        <f aca="false">COUNTIFS(Работы!$B$2:$B$450,"Июнь 2026",Работы!$M$2:$M$450,"Не начато")</f>
        <v>0</v>
      </c>
      <c r="D45" s="9" t="n">
        <f aca="false">COUNTIFS(Работы!$B$2:$B$450,"Июнь 2026",Работы!$M$2:$M$450,"В работе")</f>
        <v>0</v>
      </c>
      <c r="E45" s="9" t="n">
        <f aca="false">COUNTIFS(Работы!$B$2:$B$450,"Июнь 2026",Работы!$M$2:$M$450,"Выполнено, ждёт акта")</f>
        <v>11</v>
      </c>
      <c r="F45" s="9" t="n">
        <f aca="false">COUNTIFS(Работы!$B$2:$B$450,"Июнь 2026",Работы!$M$2:$M$450,"Принято с актом")</f>
        <v>11</v>
      </c>
      <c r="G45" s="9" t="n">
        <f aca="false">COUNTIFS(Работы!$B$2:$B$450,"Июнь 2026",Работы!$M$2:$M$450,"Отложено на зиму")</f>
        <v>0</v>
      </c>
      <c r="H45" s="9" t="n">
        <f aca="false">COUNTIFS(Работы!$B$2:$B$450,"Июнь 2026",Работы!$M$2:$M$450,"Нужно решение")</f>
        <v>0</v>
      </c>
      <c r="I45" s="7" t="n">
        <f aca="false">COUNTIFS(Работы!$B$2:$B$450,"Июнь 2026",Работы!$P$2:$P$450,"&gt;0")</f>
        <v>0</v>
      </c>
      <c r="J45" s="17" t="n">
        <f aca="false">IF(B45=0,"",(E45+F45)/B45)</f>
        <v>1</v>
      </c>
      <c r="K45" s="8" t="n">
        <f aca="false">IF(B45=0,"",F45/B45)</f>
        <v>0.5</v>
      </c>
      <c r="L45" s="7" t="str">
        <f aca="true">IF(DATE(2026,6,30)&lt;TODAY(),IF(C45+D45+H45&gt;0,"просрочен",IF(E45&gt;0,"без акта "&amp;E45,"закрыт")),IF(DATE(2026,6,1)&lt;=TODAY(),"идёт сейчас","впереди"))</f>
        <v>без акта 11</v>
      </c>
    </row>
    <row r="46" customFormat="false" ht="15" hidden="false" customHeight="false" outlineLevel="0" collapsed="false">
      <c r="A46" s="16" t="s">
        <v>86</v>
      </c>
      <c r="B46" s="9" t="n">
        <f aca="false">COUNTIFS(Работы!$B$2:$B$450,"Июль 2026",Работы!$M$2:$M$450,"&lt;&gt;Снято с плана")</f>
        <v>49</v>
      </c>
      <c r="C46" s="9" t="n">
        <f aca="false">COUNTIFS(Работы!$B$2:$B$450,"Июль 2026",Работы!$M$2:$M$450,"Не начато")</f>
        <v>0</v>
      </c>
      <c r="D46" s="9" t="n">
        <f aca="false">COUNTIFS(Работы!$B$2:$B$450,"Июль 2026",Работы!$M$2:$M$450,"В работе")</f>
        <v>0</v>
      </c>
      <c r="E46" s="9" t="n">
        <f aca="false">COUNTIFS(Работы!$B$2:$B$450,"Июль 2026",Работы!$M$2:$M$450,"Выполнено, ждёт акта")</f>
        <v>16</v>
      </c>
      <c r="F46" s="9" t="n">
        <f aca="false">COUNTIFS(Работы!$B$2:$B$450,"Июль 2026",Работы!$M$2:$M$450,"Принято с актом")</f>
        <v>33</v>
      </c>
      <c r="G46" s="9" t="n">
        <f aca="false">COUNTIFS(Работы!$B$2:$B$450,"Июль 2026",Работы!$M$2:$M$450,"Отложено на зиму")</f>
        <v>0</v>
      </c>
      <c r="H46" s="9" t="n">
        <f aca="false">COUNTIFS(Работы!$B$2:$B$450,"Июль 2026",Работы!$M$2:$M$450,"Нужно решение")</f>
        <v>0</v>
      </c>
      <c r="I46" s="7" t="n">
        <f aca="false">COUNTIFS(Работы!$B$2:$B$450,"Июль 2026",Работы!$P$2:$P$450,"&gt;0")</f>
        <v>0</v>
      </c>
      <c r="J46" s="17" t="n">
        <f aca="false">IF(B46=0,"",(E46+F46)/B46)</f>
        <v>1</v>
      </c>
      <c r="K46" s="8" t="n">
        <f aca="false">IF(B46=0,"",F46/B46)</f>
        <v>0.673469387755102</v>
      </c>
      <c r="L46" s="7" t="str">
        <f aca="true">IF(DATE(2026,7,31)&lt;TODAY(),IF(C46+D46+H46&gt;0,"просрочен",IF(E46&gt;0,"без акта "&amp;E46,"закрыт")),IF(DATE(2026,7,1)&lt;=TODAY(),"идёт сейчас","впереди"))</f>
        <v>без акта 16</v>
      </c>
    </row>
    <row r="47" customFormat="false" ht="15" hidden="false" customHeight="false" outlineLevel="0" collapsed="false">
      <c r="A47" s="16" t="s">
        <v>87</v>
      </c>
      <c r="B47" s="9" t="n">
        <f aca="false">COUNTIFS(Работы!$B$2:$B$450,"Август 2026",Работы!$M$2:$M$450,"&lt;&gt;Снято с плана")</f>
        <v>26</v>
      </c>
      <c r="C47" s="9" t="n">
        <f aca="false">COUNTIFS(Работы!$B$2:$B$450,"Август 2026",Работы!$M$2:$M$450,"Не начато")</f>
        <v>0</v>
      </c>
      <c r="D47" s="9" t="n">
        <f aca="false">COUNTIFS(Работы!$B$2:$B$450,"Август 2026",Работы!$M$2:$M$450,"В работе")</f>
        <v>0</v>
      </c>
      <c r="E47" s="9" t="n">
        <f aca="false">COUNTIFS(Работы!$B$2:$B$450,"Август 2026",Работы!$M$2:$M$450,"Выполнено, ждёт акта")</f>
        <v>6</v>
      </c>
      <c r="F47" s="9" t="n">
        <f aca="false">COUNTIFS(Работы!$B$2:$B$450,"Август 2026",Работы!$M$2:$M$450,"Принято с актом")</f>
        <v>20</v>
      </c>
      <c r="G47" s="9" t="n">
        <f aca="false">COUNTIFS(Работы!$B$2:$B$450,"Август 2026",Работы!$M$2:$M$450,"Отложено на зиму")</f>
        <v>0</v>
      </c>
      <c r="H47" s="9" t="n">
        <f aca="false">COUNTIFS(Работы!$B$2:$B$450,"Август 2026",Работы!$M$2:$M$450,"Нужно решение")</f>
        <v>0</v>
      </c>
      <c r="I47" s="7" t="n">
        <f aca="false">COUNTIFS(Работы!$B$2:$B$450,"Август 2026",Работы!$P$2:$P$450,"&gt;0")</f>
        <v>0</v>
      </c>
      <c r="J47" s="17" t="n">
        <f aca="false">IF(B47=0,"",(E47+F47)/B47)</f>
        <v>1</v>
      </c>
      <c r="K47" s="8" t="n">
        <f aca="false">IF(B47=0,"",F47/B47)</f>
        <v>0.769230769230769</v>
      </c>
      <c r="L47" s="7" t="str">
        <f aca="true">IF(DATE(2026,8,31)&lt;TODAY(),IF(C47+D47+H47&gt;0,"просрочен",IF(E47&gt;0,"без акта "&amp;E47,"закрыт")),IF(DATE(2026,8,1)&lt;=TODAY(),"идёт сейчас","впереди"))</f>
        <v>без акта 6</v>
      </c>
    </row>
    <row r="48" customFormat="false" ht="15" hidden="false" customHeight="false" outlineLevel="0" collapsed="false">
      <c r="A48" s="16" t="s">
        <v>88</v>
      </c>
      <c r="B48" s="9" t="n">
        <f aca="false">COUNTIFS(Работы!$B$2:$B$450,"Сентябрь 2026",Работы!$M$2:$M$450,"&lt;&gt;Снято с плана")</f>
        <v>232</v>
      </c>
      <c r="C48" s="9" t="n">
        <f aca="false">COUNTIFS(Работы!$B$2:$B$450,"Сентябрь 2026",Работы!$M$2:$M$450,"Не начато")</f>
        <v>75</v>
      </c>
      <c r="D48" s="9" t="n">
        <f aca="false">COUNTIFS(Работы!$B$2:$B$450,"Сентябрь 2026",Работы!$M$2:$M$450,"В работе")</f>
        <v>20</v>
      </c>
      <c r="E48" s="9" t="n">
        <f aca="false">COUNTIFS(Работы!$B$2:$B$450,"Сентябрь 2026",Работы!$M$2:$M$450,"Выполнено, ждёт акта")</f>
        <v>99</v>
      </c>
      <c r="F48" s="9" t="n">
        <f aca="false">COUNTIFS(Работы!$B$2:$B$450,"Сентябрь 2026",Работы!$M$2:$M$450,"Принято с актом")</f>
        <v>20</v>
      </c>
      <c r="G48" s="9" t="n">
        <f aca="false">COUNTIFS(Работы!$B$2:$B$450,"Сентябрь 2026",Работы!$M$2:$M$450,"Отложено на зиму")</f>
        <v>6</v>
      </c>
      <c r="H48" s="9" t="n">
        <f aca="false">COUNTIFS(Работы!$B$2:$B$450,"Сентябрь 2026",Работы!$M$2:$M$450,"Нужно решение")</f>
        <v>12</v>
      </c>
      <c r="I48" s="7" t="n">
        <f aca="false">COUNTIFS(Работы!$B$2:$B$450,"Сентябрь 2026",Работы!$P$2:$P$450,"&gt;0")</f>
        <v>107</v>
      </c>
      <c r="J48" s="17" t="n">
        <f aca="false">IF(B48=0,"",(E48+F48)/B48)</f>
        <v>0.512931034482759</v>
      </c>
      <c r="K48" s="8" t="n">
        <f aca="false">IF(B48=0,"",F48/B48)</f>
        <v>0.0862068965517241</v>
      </c>
      <c r="L48" s="7" t="str">
        <f aca="true">IF(DATE(2026,9,30)&lt;TODAY(),IF(C48+D48+H48&gt;0,"просрочен",IF(E48&gt;0,"без акта "&amp;E48,"закрыт")),IF(DATE(2026,9,1)&lt;=TODAY(),"идёт сейчас","впереди"))</f>
        <v>просрочен</v>
      </c>
    </row>
    <row r="49" customFormat="false" ht="15" hidden="false" customHeight="false" outlineLevel="0" collapsed="false">
      <c r="A49" s="16" t="s">
        <v>89</v>
      </c>
      <c r="B49" s="9" t="n">
        <f aca="false">COUNTIFS(Работы!$B$2:$B$450,"Октябрь 2026",Работы!$M$2:$M$450,"&lt;&gt;Снято с плана")</f>
        <v>48</v>
      </c>
      <c r="C49" s="9" t="n">
        <f aca="false">COUNTIFS(Работы!$B$2:$B$450,"Октябрь 2026",Работы!$M$2:$M$450,"Не начато")</f>
        <v>15</v>
      </c>
      <c r="D49" s="9" t="n">
        <f aca="false">COUNTIFS(Работы!$B$2:$B$450,"Октябрь 2026",Работы!$M$2:$M$450,"В работе")</f>
        <v>12</v>
      </c>
      <c r="E49" s="9" t="n">
        <f aca="false">COUNTIFS(Работы!$B$2:$B$450,"Октябрь 2026",Работы!$M$2:$M$450,"Выполнено, ждёт акта")</f>
        <v>15</v>
      </c>
      <c r="F49" s="9" t="n">
        <f aca="false">COUNTIFS(Работы!$B$2:$B$450,"Октябрь 2026",Работы!$M$2:$M$450,"Принято с актом")</f>
        <v>0</v>
      </c>
      <c r="G49" s="9" t="n">
        <f aca="false">COUNTIFS(Работы!$B$2:$B$450,"Октябрь 2026",Работы!$M$2:$M$450,"Отложено на зиму")</f>
        <v>2</v>
      </c>
      <c r="H49" s="9" t="n">
        <f aca="false">COUNTIFS(Работы!$B$2:$B$450,"Октябрь 2026",Работы!$M$2:$M$450,"Нужно решение")</f>
        <v>4</v>
      </c>
      <c r="I49" s="7" t="n">
        <f aca="false">COUNTIFS(Работы!$B$2:$B$450,"Октябрь 2026",Работы!$P$2:$P$450,"&gt;0")</f>
        <v>0</v>
      </c>
      <c r="J49" s="17" t="n">
        <f aca="false">IF(B49=0,"",(E49+F49)/B49)</f>
        <v>0.3125</v>
      </c>
      <c r="K49" s="8" t="n">
        <f aca="false">IF(B49=0,"",F49/B49)</f>
        <v>0</v>
      </c>
      <c r="L49" s="7" t="str">
        <f aca="true">IF(DATE(2026,10,31)&lt;TODAY(),IF(C49+D49+H49&gt;0,"просрочен",IF(E49&gt;0,"без акта "&amp;E49,"закрыт")),IF(DATE(2026,10,1)&lt;=TODAY(),"идёт сейчас","впереди"))</f>
        <v>идёт сейчас</v>
      </c>
    </row>
    <row r="50" customFormat="false" ht="15" hidden="false" customHeight="false" outlineLevel="0" collapsed="false">
      <c r="A50" s="16" t="s">
        <v>90</v>
      </c>
      <c r="B50" s="9" t="n">
        <f aca="false">COUNTIFS(Работы!$B$2:$B$450,"Ноябрь 2026",Работы!$M$2:$M$450,"&lt;&gt;Снято с плана")</f>
        <v>20</v>
      </c>
      <c r="C50" s="9" t="n">
        <f aca="false">COUNTIFS(Работы!$B$2:$B$450,"Ноябрь 2026",Работы!$M$2:$M$450,"Не начато")</f>
        <v>16</v>
      </c>
      <c r="D50" s="9" t="n">
        <f aca="false">COUNTIFS(Работы!$B$2:$B$450,"Ноябрь 2026",Работы!$M$2:$M$450,"В работе")</f>
        <v>3</v>
      </c>
      <c r="E50" s="9" t="n">
        <f aca="false">COUNTIFS(Работы!$B$2:$B$450,"Ноябрь 2026",Работы!$M$2:$M$450,"Выполнено, ждёт акта")</f>
        <v>0</v>
      </c>
      <c r="F50" s="9" t="n">
        <f aca="false">COUNTIFS(Работы!$B$2:$B$450,"Ноябрь 2026",Работы!$M$2:$M$450,"Принято с актом")</f>
        <v>0</v>
      </c>
      <c r="G50" s="9" t="n">
        <f aca="false">COUNTIFS(Работы!$B$2:$B$450,"Ноябрь 2026",Работы!$M$2:$M$450,"Отложено на зиму")</f>
        <v>1</v>
      </c>
      <c r="H50" s="9" t="n">
        <f aca="false">COUNTIFS(Работы!$B$2:$B$450,"Ноябрь 2026",Работы!$M$2:$M$450,"Нужно решение")</f>
        <v>0</v>
      </c>
      <c r="I50" s="7" t="n">
        <f aca="false">COUNTIFS(Работы!$B$2:$B$450,"Ноябрь 2026",Работы!$P$2:$P$450,"&gt;0")</f>
        <v>0</v>
      </c>
      <c r="J50" s="17" t="n">
        <f aca="false">IF(B50=0,"",(E50+F50)/B50)</f>
        <v>0</v>
      </c>
      <c r="K50" s="8" t="n">
        <f aca="false">IF(B50=0,"",F50/B50)</f>
        <v>0</v>
      </c>
      <c r="L50" s="7" t="str">
        <f aca="true">IF(DATE(2026,11,30)&lt;TODAY(),IF(C50+D50+H50&gt;0,"просрочен",IF(E50&gt;0,"без акта "&amp;E50,"закрыт")),IF(DATE(2026,11,1)&lt;=TODAY(),"идёт сейчас","впереди"))</f>
        <v>впереди</v>
      </c>
    </row>
    <row r="51" customFormat="false" ht="15" hidden="false" customHeight="false" outlineLevel="0" collapsed="false">
      <c r="A51" s="16" t="s">
        <v>91</v>
      </c>
      <c r="B51" s="9" t="n">
        <f aca="false">COUNTIFS(Работы!$B$2:$B$450,"Декабрь 2026",Работы!$M$2:$M$450,"&lt;&gt;Снято с плана")</f>
        <v>3</v>
      </c>
      <c r="C51" s="9" t="n">
        <f aca="false">COUNTIFS(Работы!$B$2:$B$450,"Декабрь 2026",Работы!$M$2:$M$450,"Не начато")</f>
        <v>2</v>
      </c>
      <c r="D51" s="9" t="n">
        <f aca="false">COUNTIFS(Работы!$B$2:$B$450,"Декабрь 2026",Работы!$M$2:$M$450,"В работе")</f>
        <v>1</v>
      </c>
      <c r="E51" s="9" t="n">
        <f aca="false">COUNTIFS(Работы!$B$2:$B$450,"Декабрь 2026",Работы!$M$2:$M$450,"Выполнено, ждёт акта")</f>
        <v>0</v>
      </c>
      <c r="F51" s="9" t="n">
        <f aca="false">COUNTIFS(Работы!$B$2:$B$450,"Декабрь 2026",Работы!$M$2:$M$450,"Принято с актом")</f>
        <v>0</v>
      </c>
      <c r="G51" s="9" t="n">
        <f aca="false">COUNTIFS(Работы!$B$2:$B$450,"Декабрь 2026",Работы!$M$2:$M$450,"Отложено на зиму")</f>
        <v>0</v>
      </c>
      <c r="H51" s="9" t="n">
        <f aca="false">COUNTIFS(Работы!$B$2:$B$450,"Декабрь 2026",Работы!$M$2:$M$450,"Нужно решение")</f>
        <v>0</v>
      </c>
      <c r="I51" s="7" t="n">
        <f aca="false">COUNTIFS(Работы!$B$2:$B$450,"Декабрь 2026",Работы!$P$2:$P$450,"&gt;0")</f>
        <v>0</v>
      </c>
      <c r="J51" s="17" t="n">
        <f aca="false">IF(B51=0,"",(E51+F51)/B51)</f>
        <v>0</v>
      </c>
      <c r="K51" s="8" t="n">
        <f aca="false">IF(B51=0,"",F51/B51)</f>
        <v>0</v>
      </c>
      <c r="L51" s="7" t="str">
        <f aca="true">IF(DATE(2026,12,31)&lt;TODAY(),IF(C51+D51+H51&gt;0,"просрочен",IF(E51&gt;0,"без акта "&amp;E51,"закрыт")),IF(DATE(2026,12,1)&lt;=TODAY(),"идёт сейчас","впереди"))</f>
        <v>впереди</v>
      </c>
    </row>
    <row r="53" customFormat="false" ht="15" hidden="false" customHeight="false" outlineLevel="0" collapsed="false">
      <c r="A53" s="3" t="s">
        <v>92</v>
      </c>
    </row>
    <row r="54" customFormat="false" ht="15" hidden="false" customHeight="false" outlineLevel="0" collapsed="false">
      <c r="A54" s="4" t="s">
        <v>93</v>
      </c>
    </row>
    <row r="56" customFormat="false" ht="30" hidden="false" customHeight="true" outlineLevel="0" collapsed="false">
      <c r="A56" s="5" t="s">
        <v>94</v>
      </c>
      <c r="B56" s="5" t="s">
        <v>73</v>
      </c>
      <c r="C56" s="5" t="s">
        <v>10</v>
      </c>
      <c r="D56" s="5" t="s">
        <v>13</v>
      </c>
      <c r="E56" s="5" t="s">
        <v>74</v>
      </c>
      <c r="F56" s="5" t="s">
        <v>75</v>
      </c>
      <c r="G56" s="5" t="s">
        <v>76</v>
      </c>
      <c r="H56" s="5" t="s">
        <v>24</v>
      </c>
      <c r="I56" s="5" t="s">
        <v>77</v>
      </c>
      <c r="J56" s="5" t="s">
        <v>78</v>
      </c>
      <c r="K56" s="5" t="s">
        <v>79</v>
      </c>
    </row>
    <row r="57" customFormat="false" ht="15" hidden="false" customHeight="false" outlineLevel="0" collapsed="false">
      <c r="A57" s="16" t="s">
        <v>95</v>
      </c>
      <c r="B57" s="9" t="n">
        <f aca="false">COUNTIFS(Работы!$K$2:$K$450,"Подрядчики",Работы!$M$2:$M$450,"&lt;&gt;Снято с плана")</f>
        <v>140</v>
      </c>
      <c r="C57" s="9" t="n">
        <f aca="false">COUNTIFS(Работы!$K$2:$K$450,"Подрядчики",Работы!$M$2:$M$450,"Не начато")</f>
        <v>78</v>
      </c>
      <c r="D57" s="9" t="n">
        <f aca="false">COUNTIFS(Работы!$K$2:$K$450,"Подрядчики",Работы!$M$2:$M$450,"В работе")</f>
        <v>6</v>
      </c>
      <c r="E57" s="9" t="n">
        <f aca="false">COUNTIFS(Работы!$K$2:$K$450,"Подрядчики",Работы!$M$2:$M$450,"Выполнено, ждёт акта")</f>
        <v>35</v>
      </c>
      <c r="F57" s="9" t="n">
        <f aca="false">COUNTIFS(Работы!$K$2:$K$450,"Подрядчики",Работы!$M$2:$M$450,"Принято с актом")</f>
        <v>6</v>
      </c>
      <c r="G57" s="9" t="n">
        <f aca="false">COUNTIFS(Работы!$K$2:$K$450,"Подрядчики",Работы!$M$2:$M$450,"Отложено на зиму")</f>
        <v>0</v>
      </c>
      <c r="H57" s="9" t="n">
        <f aca="false">COUNTIFS(Работы!$K$2:$K$450,"Подрядчики",Работы!$M$2:$M$450,"Нужно решение")</f>
        <v>15</v>
      </c>
      <c r="I57" s="7" t="n">
        <f aca="false">COUNTIFS(Работы!$K$2:$K$450,"Подрядчики",Работы!$P$2:$P$450,"&gt;0")</f>
        <v>75</v>
      </c>
      <c r="J57" s="17" t="n">
        <f aca="false">IF(B57=0,"",(E57+F57)/B57)</f>
        <v>0.292857142857143</v>
      </c>
      <c r="K57" s="8" t="n">
        <f aca="false">IF(B57=0,"",F57/B57)</f>
        <v>0.0428571428571429</v>
      </c>
    </row>
    <row r="58" customFormat="false" ht="15" hidden="false" customHeight="false" outlineLevel="0" collapsed="false">
      <c r="A58" s="16" t="s">
        <v>96</v>
      </c>
      <c r="B58" s="9" t="n">
        <f aca="false">COUNTIFS(Работы!$K$2:$K$450,"УК",Работы!$M$2:$M$450,"&lt;&gt;Снято с плана")</f>
        <v>180</v>
      </c>
      <c r="C58" s="9" t="n">
        <f aca="false">COUNTIFS(Работы!$K$2:$K$450,"УК",Работы!$M$2:$M$450,"Не начато")</f>
        <v>7</v>
      </c>
      <c r="D58" s="9" t="n">
        <f aca="false">COUNTIFS(Работы!$K$2:$K$450,"УК",Работы!$M$2:$M$450,"В работе")</f>
        <v>30</v>
      </c>
      <c r="E58" s="9" t="n">
        <f aca="false">COUNTIFS(Работы!$K$2:$K$450,"УК",Работы!$M$2:$M$450,"Выполнено, ждёт акта")</f>
        <v>120</v>
      </c>
      <c r="F58" s="9" t="n">
        <f aca="false">COUNTIFS(Работы!$K$2:$K$450,"УК",Работы!$M$2:$M$450,"Принято с актом")</f>
        <v>13</v>
      </c>
      <c r="G58" s="9" t="n">
        <f aca="false">COUNTIFS(Работы!$K$2:$K$450,"УК",Работы!$M$2:$M$450,"Отложено на зиму")</f>
        <v>9</v>
      </c>
      <c r="H58" s="9" t="n">
        <f aca="false">COUNTIFS(Работы!$K$2:$K$450,"УК",Работы!$M$2:$M$450,"Нужно решение")</f>
        <v>1</v>
      </c>
      <c r="I58" s="7" t="n">
        <f aca="false">COUNTIFS(Работы!$K$2:$K$450,"УК",Работы!$P$2:$P$450,"&gt;0")</f>
        <v>21</v>
      </c>
      <c r="J58" s="17" t="n">
        <f aca="false">IF(B58=0,"",(E58+F58)/B58)</f>
        <v>0.738888888888889</v>
      </c>
      <c r="K58" s="8" t="n">
        <f aca="false">IF(B58=0,"",F58/B58)</f>
        <v>0.0722222222222222</v>
      </c>
    </row>
    <row r="59" customFormat="false" ht="15" hidden="false" customHeight="false" outlineLevel="0" collapsed="false">
      <c r="A59" s="16" t="s">
        <v>97</v>
      </c>
      <c r="B59" s="9" t="n">
        <f aca="false">COUNTIFS(Работы!$K$2:$K$450,"Не распределено",Работы!$M$2:$M$450,"&lt;&gt;Снято с плана")</f>
        <v>119</v>
      </c>
      <c r="C59" s="9" t="n">
        <f aca="false">COUNTIFS(Работы!$K$2:$K$450,"Не распределено",Работы!$M$2:$M$450,"Не начато")</f>
        <v>23</v>
      </c>
      <c r="D59" s="9" t="n">
        <f aca="false">COUNTIFS(Работы!$K$2:$K$450,"Не распределено",Работы!$M$2:$M$450,"В работе")</f>
        <v>0</v>
      </c>
      <c r="E59" s="9" t="n">
        <f aca="false">COUNTIFS(Работы!$K$2:$K$450,"Не распределено",Работы!$M$2:$M$450,"Выполнено, ждёт акта")</f>
        <v>5</v>
      </c>
      <c r="F59" s="9" t="n">
        <f aca="false">COUNTIFS(Работы!$K$2:$K$450,"Не распределено",Работы!$M$2:$M$450,"Принято с актом")</f>
        <v>91</v>
      </c>
      <c r="G59" s="9" t="n">
        <f aca="false">COUNTIFS(Работы!$K$2:$K$450,"Не распределено",Работы!$M$2:$M$450,"Отложено на зиму")</f>
        <v>0</v>
      </c>
      <c r="H59" s="9" t="n">
        <f aca="false">COUNTIFS(Работы!$K$2:$K$450,"Не распределено",Работы!$M$2:$M$450,"Нужно решение")</f>
        <v>0</v>
      </c>
      <c r="I59" s="7" t="n">
        <f aca="false">COUNTIFS(Работы!$K$2:$K$450,"Не распределено",Работы!$P$2:$P$450,"&gt;0")</f>
        <v>11</v>
      </c>
      <c r="J59" s="17" t="n">
        <f aca="false">IF(B59=0,"",(E59+F59)/B59)</f>
        <v>0.80672268907563</v>
      </c>
      <c r="K59" s="8" t="n">
        <f aca="false">IF(B59=0,"",F59/B59)</f>
        <v>0.764705882352941</v>
      </c>
    </row>
    <row r="61" customFormat="false" ht="15" hidden="false" customHeight="false" outlineLevel="0" collapsed="false">
      <c r="A61" s="3" t="s">
        <v>98</v>
      </c>
    </row>
    <row r="63" customFormat="false" ht="30" hidden="false" customHeight="true" outlineLevel="0" collapsed="false">
      <c r="A63" s="5" t="s">
        <v>99</v>
      </c>
      <c r="B63" s="5" t="s">
        <v>73</v>
      </c>
      <c r="C63" s="5" t="s">
        <v>10</v>
      </c>
      <c r="D63" s="5" t="s">
        <v>13</v>
      </c>
      <c r="E63" s="5" t="s">
        <v>74</v>
      </c>
      <c r="F63" s="5" t="s">
        <v>75</v>
      </c>
      <c r="G63" s="5" t="s">
        <v>76</v>
      </c>
      <c r="H63" s="5" t="s">
        <v>24</v>
      </c>
      <c r="I63" s="5" t="s">
        <v>77</v>
      </c>
      <c r="J63" s="5" t="s">
        <v>78</v>
      </c>
      <c r="K63" s="5" t="s">
        <v>79</v>
      </c>
    </row>
    <row r="64" customFormat="false" ht="15" hidden="false" customHeight="false" outlineLevel="0" collapsed="false">
      <c r="A64" s="16" t="s">
        <v>100</v>
      </c>
      <c r="B64" s="9" t="n">
        <f aca="false">COUNTIFS(Работы!$L$2:$L$450,"(не назначен)",Работы!$M$2:$M$450,"&lt;&gt;Снято с плана")</f>
        <v>139</v>
      </c>
      <c r="C64" s="9" t="n">
        <f aca="false">COUNTIFS(Работы!$L$2:$L$450,"(не назначен)",Работы!$M$2:$M$450,"Не начато")</f>
        <v>49</v>
      </c>
      <c r="D64" s="9" t="n">
        <f aca="false">COUNTIFS(Работы!$L$2:$L$450,"(не назначен)",Работы!$M$2:$M$450,"В работе")</f>
        <v>1</v>
      </c>
      <c r="E64" s="9" t="n">
        <f aca="false">COUNTIFS(Работы!$L$2:$L$450,"(не назначен)",Работы!$M$2:$M$450,"Выполнено, ждёт акта")</f>
        <v>28</v>
      </c>
      <c r="F64" s="9" t="n">
        <f aca="false">COUNTIFS(Работы!$L$2:$L$450,"(не назначен)",Работы!$M$2:$M$450,"Принято с актом")</f>
        <v>53</v>
      </c>
      <c r="G64" s="9" t="n">
        <f aca="false">COUNTIFS(Работы!$L$2:$L$450,"(не назначен)",Работы!$M$2:$M$450,"Отложено на зиму")</f>
        <v>0</v>
      </c>
      <c r="H64" s="9" t="n">
        <f aca="false">COUNTIFS(Работы!$L$2:$L$450,"(не назначен)",Работы!$M$2:$M$450,"Нужно решение")</f>
        <v>8</v>
      </c>
      <c r="I64" s="7" t="n">
        <f aca="false">COUNTIFS(Работы!$L$2:$L$450,"(не назначен)",Работы!$P$2:$P$450,"&gt;0")</f>
        <v>50</v>
      </c>
      <c r="J64" s="17" t="n">
        <f aca="false">IF(B64=0,"",(E64+F64)/B64)</f>
        <v>0.58273381294964</v>
      </c>
      <c r="K64" s="8" t="n">
        <f aca="false">IF(B64=0,"",F64/B64)</f>
        <v>0.381294964028777</v>
      </c>
    </row>
    <row r="65" customFormat="false" ht="15" hidden="false" customHeight="false" outlineLevel="0" collapsed="false">
      <c r="A65" s="16" t="s">
        <v>101</v>
      </c>
      <c r="B65" s="9" t="n">
        <f aca="false">COUNTIFS(Работы!$L$2:$L$450,"Зеленцов А.В.",Работы!$M$2:$M$450,"&lt;&gt;Снято с плана")</f>
        <v>50</v>
      </c>
      <c r="C65" s="9" t="n">
        <f aca="false">COUNTIFS(Работы!$L$2:$L$450,"Зеленцов А.В.",Работы!$M$2:$M$450,"Не начато")</f>
        <v>10</v>
      </c>
      <c r="D65" s="9" t="n">
        <f aca="false">COUNTIFS(Работы!$L$2:$L$450,"Зеленцов А.В.",Работы!$M$2:$M$450,"В работе")</f>
        <v>5</v>
      </c>
      <c r="E65" s="9" t="n">
        <f aca="false">COUNTIFS(Работы!$L$2:$L$450,"Зеленцов А.В.",Работы!$M$2:$M$450,"Выполнено, ждёт акта")</f>
        <v>17</v>
      </c>
      <c r="F65" s="9" t="n">
        <f aca="false">COUNTIFS(Работы!$L$2:$L$450,"Зеленцов А.В.",Работы!$M$2:$M$450,"Принято с актом")</f>
        <v>12</v>
      </c>
      <c r="G65" s="9" t="n">
        <f aca="false">COUNTIFS(Работы!$L$2:$L$450,"Зеленцов А.В.",Работы!$M$2:$M$450,"Отложено на зиму")</f>
        <v>3</v>
      </c>
      <c r="H65" s="9" t="n">
        <f aca="false">COUNTIFS(Работы!$L$2:$L$450,"Зеленцов А.В.",Работы!$M$2:$M$450,"Нужно решение")</f>
        <v>3</v>
      </c>
      <c r="I65" s="7" t="n">
        <f aca="false">COUNTIFS(Работы!$L$2:$L$450,"Зеленцов А.В.",Работы!$P$2:$P$450,"&gt;0")</f>
        <v>16</v>
      </c>
      <c r="J65" s="17" t="n">
        <f aca="false">IF(B65=0,"",(E65+F65)/B65)</f>
        <v>0.58</v>
      </c>
      <c r="K65" s="8" t="n">
        <f aca="false">IF(B65=0,"",F65/B65)</f>
        <v>0.24</v>
      </c>
    </row>
    <row r="66" customFormat="false" ht="15" hidden="false" customHeight="false" outlineLevel="0" collapsed="false">
      <c r="A66" s="16" t="s">
        <v>102</v>
      </c>
      <c r="B66" s="9" t="n">
        <f aca="false">COUNTIFS(Работы!$L$2:$L$450,"Гайдуков А.В.",Работы!$M$2:$M$450,"&lt;&gt;Снято с плана")</f>
        <v>56</v>
      </c>
      <c r="C66" s="9" t="n">
        <f aca="false">COUNTIFS(Работы!$L$2:$L$450,"Гайдуков А.В.",Работы!$M$2:$M$450,"Не начато")</f>
        <v>12</v>
      </c>
      <c r="D66" s="9" t="n">
        <f aca="false">COUNTIFS(Работы!$L$2:$L$450,"Гайдуков А.В.",Работы!$M$2:$M$450,"В работе")</f>
        <v>6</v>
      </c>
      <c r="E66" s="9" t="n">
        <f aca="false">COUNTIFS(Работы!$L$2:$L$450,"Гайдуков А.В.",Работы!$M$2:$M$450,"Выполнено, ждёт акта")</f>
        <v>15</v>
      </c>
      <c r="F66" s="9" t="n">
        <f aca="false">COUNTIFS(Работы!$L$2:$L$450,"Гайдуков А.В.",Работы!$M$2:$M$450,"Принято с актом")</f>
        <v>20</v>
      </c>
      <c r="G66" s="9" t="n">
        <f aca="false">COUNTIFS(Работы!$L$2:$L$450,"Гайдуков А.В.",Работы!$M$2:$M$450,"Отложено на зиму")</f>
        <v>3</v>
      </c>
      <c r="H66" s="9" t="n">
        <f aca="false">COUNTIFS(Работы!$L$2:$L$450,"Гайдуков А.В.",Работы!$M$2:$M$450,"Нужно решение")</f>
        <v>0</v>
      </c>
      <c r="I66" s="7" t="n">
        <f aca="false">COUNTIFS(Работы!$L$2:$L$450,"Гайдуков А.В.",Работы!$P$2:$P$450,"&gt;0")</f>
        <v>14</v>
      </c>
      <c r="J66" s="17" t="n">
        <f aca="false">IF(B66=0,"",(E66+F66)/B66)</f>
        <v>0.625</v>
      </c>
      <c r="K66" s="8" t="n">
        <f aca="false">IF(B66=0,"",F66/B66)</f>
        <v>0.357142857142857</v>
      </c>
    </row>
    <row r="67" customFormat="false" ht="15" hidden="false" customHeight="false" outlineLevel="0" collapsed="false">
      <c r="A67" s="16" t="s">
        <v>103</v>
      </c>
      <c r="B67" s="9" t="n">
        <f aca="false">COUNTIFS(Работы!$L$2:$L$450,"Шарафутдинов Р.Р.",Работы!$M$2:$M$450,"&lt;&gt;Снято с плана")</f>
        <v>34</v>
      </c>
      <c r="C67" s="9" t="n">
        <f aca="false">COUNTIFS(Работы!$L$2:$L$450,"Шарафутдинов Р.Р.",Работы!$M$2:$M$450,"Не начато")</f>
        <v>10</v>
      </c>
      <c r="D67" s="9" t="n">
        <f aca="false">COUNTIFS(Работы!$L$2:$L$450,"Шарафутдинов Р.Р.",Работы!$M$2:$M$450,"В работе")</f>
        <v>6</v>
      </c>
      <c r="E67" s="9" t="n">
        <f aca="false">COUNTIFS(Работы!$L$2:$L$450,"Шарафутдинов Р.Р.",Работы!$M$2:$M$450,"Выполнено, ждёт акта")</f>
        <v>9</v>
      </c>
      <c r="F67" s="9" t="n">
        <f aca="false">COUNTIFS(Работы!$L$2:$L$450,"Шарафутдинов Р.Р.",Работы!$M$2:$M$450,"Принято с актом")</f>
        <v>8</v>
      </c>
      <c r="G67" s="9" t="n">
        <f aca="false">COUNTIFS(Работы!$L$2:$L$450,"Шарафутдинов Р.Р.",Работы!$M$2:$M$450,"Отложено на зиму")</f>
        <v>0</v>
      </c>
      <c r="H67" s="9" t="n">
        <f aca="false">COUNTIFS(Работы!$L$2:$L$450,"Шарафутдинов Р.Р.",Работы!$M$2:$M$450,"Нужно решение")</f>
        <v>1</v>
      </c>
      <c r="I67" s="7" t="n">
        <f aca="false">COUNTIFS(Работы!$L$2:$L$450,"Шарафутдинов Р.Р.",Работы!$P$2:$P$450,"&gt;0")</f>
        <v>9</v>
      </c>
      <c r="J67" s="17" t="n">
        <f aca="false">IF(B67=0,"",(E67+F67)/B67)</f>
        <v>0.5</v>
      </c>
      <c r="K67" s="8" t="n">
        <f aca="false">IF(B67=0,"",F67/B67)</f>
        <v>0.235294117647059</v>
      </c>
    </row>
    <row r="68" customFormat="false" ht="15" hidden="false" customHeight="false" outlineLevel="0" collapsed="false">
      <c r="A68" s="16" t="s">
        <v>104</v>
      </c>
      <c r="B68" s="9" t="n">
        <f aca="false">COUNTIFS(Работы!$L$2:$L$450,"Сандюк Ю.В.",Работы!$M$2:$M$450,"&lt;&gt;Снято с плана")</f>
        <v>46</v>
      </c>
      <c r="C68" s="9" t="n">
        <f aca="false">COUNTIFS(Работы!$L$2:$L$450,"Сандюк Ю.В.",Работы!$M$2:$M$450,"Не начато")</f>
        <v>10</v>
      </c>
      <c r="D68" s="9" t="n">
        <f aca="false">COUNTIFS(Работы!$L$2:$L$450,"Сандюк Ю.В.",Работы!$M$2:$M$450,"В работе")</f>
        <v>2</v>
      </c>
      <c r="E68" s="9" t="n">
        <f aca="false">COUNTIFS(Работы!$L$2:$L$450,"Сандюк Ю.В.",Работы!$M$2:$M$450,"Выполнено, ждёт акта")</f>
        <v>23</v>
      </c>
      <c r="F68" s="9" t="n">
        <f aca="false">COUNTIFS(Работы!$L$2:$L$450,"Сандюк Ю.В.",Работы!$M$2:$M$450,"Принято с актом")</f>
        <v>9</v>
      </c>
      <c r="G68" s="9" t="n">
        <f aca="false">COUNTIFS(Работы!$L$2:$L$450,"Сандюк Ю.В.",Работы!$M$2:$M$450,"Отложено на зиму")</f>
        <v>1</v>
      </c>
      <c r="H68" s="9" t="n">
        <f aca="false">COUNTIFS(Работы!$L$2:$L$450,"Сандюк Ю.В.",Работы!$M$2:$M$450,"Нужно решение")</f>
        <v>1</v>
      </c>
      <c r="I68" s="7" t="n">
        <f aca="false">COUNTIFS(Работы!$L$2:$L$450,"Сандюк Ю.В.",Работы!$P$2:$P$450,"&gt;0")</f>
        <v>8</v>
      </c>
      <c r="J68" s="17" t="n">
        <f aca="false">IF(B68=0,"",(E68+F68)/B68)</f>
        <v>0.695652173913044</v>
      </c>
      <c r="K68" s="8" t="n">
        <f aca="false">IF(B68=0,"",F68/B68)</f>
        <v>0.195652173913044</v>
      </c>
    </row>
    <row r="69" customFormat="false" ht="15" hidden="false" customHeight="false" outlineLevel="0" collapsed="false">
      <c r="A69" s="16" t="s">
        <v>105</v>
      </c>
      <c r="B69" s="9" t="n">
        <f aca="false">COUNTIFS(Работы!$L$2:$L$450,"Алиев Р.Р.",Работы!$M$2:$M$450,"&lt;&gt;Снято с плана")</f>
        <v>15</v>
      </c>
      <c r="C69" s="9" t="n">
        <f aca="false">COUNTIFS(Работы!$L$2:$L$450,"Алиев Р.Р.",Работы!$M$2:$M$450,"Не начато")</f>
        <v>0</v>
      </c>
      <c r="D69" s="9" t="n">
        <f aca="false">COUNTIFS(Работы!$L$2:$L$450,"Алиев Р.Р.",Работы!$M$2:$M$450,"В работе")</f>
        <v>2</v>
      </c>
      <c r="E69" s="9" t="n">
        <f aca="false">COUNTIFS(Работы!$L$2:$L$450,"Алиев Р.Р.",Работы!$M$2:$M$450,"Выполнено, ждёт акта")</f>
        <v>11</v>
      </c>
      <c r="F69" s="9" t="n">
        <f aca="false">COUNTIFS(Работы!$L$2:$L$450,"Алиев Р.Р.",Работы!$M$2:$M$450,"Принято с актом")</f>
        <v>0</v>
      </c>
      <c r="G69" s="9" t="n">
        <f aca="false">COUNTIFS(Работы!$L$2:$L$450,"Алиев Р.Р.",Работы!$M$2:$M$450,"Отложено на зиму")</f>
        <v>0</v>
      </c>
      <c r="H69" s="9" t="n">
        <f aca="false">COUNTIFS(Работы!$L$2:$L$450,"Алиев Р.Р.",Работы!$M$2:$M$450,"Нужно решение")</f>
        <v>2</v>
      </c>
      <c r="I69" s="7" t="n">
        <f aca="false">COUNTIFS(Работы!$L$2:$L$450,"Алиев Р.Р.",Работы!$P$2:$P$450,"&gt;0")</f>
        <v>4</v>
      </c>
      <c r="J69" s="17" t="n">
        <f aca="false">IF(B69=0,"",(E69+F69)/B69)</f>
        <v>0.733333333333333</v>
      </c>
      <c r="K69" s="8" t="n">
        <f aca="false">IF(B69=0,"",F69/B69)</f>
        <v>0</v>
      </c>
    </row>
    <row r="70" customFormat="false" ht="15" hidden="false" customHeight="false" outlineLevel="0" collapsed="false">
      <c r="A70" s="16" t="s">
        <v>106</v>
      </c>
      <c r="B70" s="9" t="n">
        <f aca="false">COUNTIFS(Работы!$L$2:$L$450,"Евграфов С.В.",Работы!$M$2:$M$450,"&lt;&gt;Снято с плана")</f>
        <v>22</v>
      </c>
      <c r="C70" s="9" t="n">
        <f aca="false">COUNTIFS(Работы!$L$2:$L$450,"Евграфов С.В.",Работы!$M$2:$M$450,"Не начато")</f>
        <v>0</v>
      </c>
      <c r="D70" s="9" t="n">
        <f aca="false">COUNTIFS(Работы!$L$2:$L$450,"Евграфов С.В.",Работы!$M$2:$M$450,"В работе")</f>
        <v>6</v>
      </c>
      <c r="E70" s="9" t="n">
        <f aca="false">COUNTIFS(Работы!$L$2:$L$450,"Евграфов С.В.",Работы!$M$2:$M$450,"Выполнено, ждёт акта")</f>
        <v>14</v>
      </c>
      <c r="F70" s="9" t="n">
        <f aca="false">COUNTIFS(Работы!$L$2:$L$450,"Евграфов С.В.",Работы!$M$2:$M$450,"Принято с актом")</f>
        <v>1</v>
      </c>
      <c r="G70" s="9" t="n">
        <f aca="false">COUNTIFS(Работы!$L$2:$L$450,"Евграфов С.В.",Работы!$M$2:$M$450,"Отложено на зиму")</f>
        <v>1</v>
      </c>
      <c r="H70" s="9" t="n">
        <f aca="false">COUNTIFS(Работы!$L$2:$L$450,"Евграфов С.В.",Работы!$M$2:$M$450,"Нужно решение")</f>
        <v>0</v>
      </c>
      <c r="I70" s="7" t="n">
        <f aca="false">COUNTIFS(Работы!$L$2:$L$450,"Евграфов С.В.",Работы!$P$2:$P$450,"&gt;0")</f>
        <v>3</v>
      </c>
      <c r="J70" s="17" t="n">
        <f aca="false">IF(B70=0,"",(E70+F70)/B70)</f>
        <v>0.681818181818182</v>
      </c>
      <c r="K70" s="8" t="n">
        <f aca="false">IF(B70=0,"",F70/B70)</f>
        <v>0.0454545454545455</v>
      </c>
    </row>
    <row r="71" customFormat="false" ht="15" hidden="false" customHeight="false" outlineLevel="0" collapsed="false">
      <c r="A71" s="16" t="s">
        <v>107</v>
      </c>
      <c r="B71" s="9" t="n">
        <f aca="false">COUNTIFS(Работы!$L$2:$L$450,"Вазюков В.С.",Работы!$M$2:$M$450,"&lt;&gt;Снято с плана")</f>
        <v>32</v>
      </c>
      <c r="C71" s="9" t="n">
        <f aca="false">COUNTIFS(Работы!$L$2:$L$450,"Вазюков В.С.",Работы!$M$2:$M$450,"Не начато")</f>
        <v>4</v>
      </c>
      <c r="D71" s="9" t="n">
        <f aca="false">COUNTIFS(Работы!$L$2:$L$450,"Вазюков В.С.",Работы!$M$2:$M$450,"В работе")</f>
        <v>1</v>
      </c>
      <c r="E71" s="9" t="n">
        <f aca="false">COUNTIFS(Работы!$L$2:$L$450,"Вазюков В.С.",Работы!$M$2:$M$450,"Выполнено, ждёт акта")</f>
        <v>21</v>
      </c>
      <c r="F71" s="9" t="n">
        <f aca="false">COUNTIFS(Работы!$L$2:$L$450,"Вазюков В.С.",Работы!$M$2:$M$450,"Принято с актом")</f>
        <v>6</v>
      </c>
      <c r="G71" s="9" t="n">
        <f aca="false">COUNTIFS(Работы!$L$2:$L$450,"Вазюков В.С.",Работы!$M$2:$M$450,"Отложено на зиму")</f>
        <v>0</v>
      </c>
      <c r="H71" s="9" t="n">
        <f aca="false">COUNTIFS(Работы!$L$2:$L$450,"Вазюков В.С.",Работы!$M$2:$M$450,"Нужно решение")</f>
        <v>0</v>
      </c>
      <c r="I71" s="7" t="n">
        <f aca="false">COUNTIFS(Работы!$L$2:$L$450,"Вазюков В.С.",Работы!$P$2:$P$450,"&gt;0")</f>
        <v>2</v>
      </c>
      <c r="J71" s="17" t="n">
        <f aca="false">IF(B71=0,"",(E71+F71)/B71)</f>
        <v>0.84375</v>
      </c>
      <c r="K71" s="8" t="n">
        <f aca="false">IF(B71=0,"",F71/B71)</f>
        <v>0.1875</v>
      </c>
    </row>
    <row r="72" customFormat="false" ht="15" hidden="false" customHeight="false" outlineLevel="0" collapsed="false">
      <c r="A72" s="16" t="s">
        <v>108</v>
      </c>
      <c r="B72" s="9" t="n">
        <f aca="false">COUNTIFS(Работы!$L$2:$L$450,"Мастер участка (Север)",Работы!$M$2:$M$450,"&lt;&gt;Снято с плана")</f>
        <v>31</v>
      </c>
      <c r="C72" s="9" t="n">
        <f aca="false">COUNTIFS(Работы!$L$2:$L$450,"Мастер участка (Север)",Работы!$M$2:$M$450,"Не начато")</f>
        <v>2</v>
      </c>
      <c r="D72" s="9" t="n">
        <f aca="false">COUNTIFS(Работы!$L$2:$L$450,"Мастер участка (Север)",Работы!$M$2:$M$450,"В работе")</f>
        <v>5</v>
      </c>
      <c r="E72" s="9" t="n">
        <f aca="false">COUNTIFS(Работы!$L$2:$L$450,"Мастер участка (Север)",Работы!$M$2:$M$450,"Выполнено, ждёт акта")</f>
        <v>21</v>
      </c>
      <c r="F72" s="9" t="n">
        <f aca="false">COUNTIFS(Работы!$L$2:$L$450,"Мастер участка (Север)",Работы!$M$2:$M$450,"Принято с актом")</f>
        <v>1</v>
      </c>
      <c r="G72" s="9" t="n">
        <f aca="false">COUNTIFS(Работы!$L$2:$L$450,"Мастер участка (Север)",Работы!$M$2:$M$450,"Отложено на зиму")</f>
        <v>1</v>
      </c>
      <c r="H72" s="9" t="n">
        <f aca="false">COUNTIFS(Работы!$L$2:$L$450,"Мастер участка (Север)",Работы!$M$2:$M$450,"Нужно решение")</f>
        <v>1</v>
      </c>
      <c r="I72" s="7" t="n">
        <f aca="false">COUNTIFS(Работы!$L$2:$L$450,"Мастер участка (Север)",Работы!$P$2:$P$450,"&gt;0")</f>
        <v>1</v>
      </c>
      <c r="J72" s="17" t="n">
        <f aca="false">IF(B72=0,"",(E72+F72)/B72)</f>
        <v>0.709677419354839</v>
      </c>
      <c r="K72" s="8" t="n">
        <f aca="false">IF(B72=0,"",F72/B72)</f>
        <v>0.032258064516129</v>
      </c>
    </row>
    <row r="73" customFormat="false" ht="15" hidden="false" customHeight="false" outlineLevel="0" collapsed="false">
      <c r="A73" s="16" t="s">
        <v>109</v>
      </c>
      <c r="B73" s="9" t="n">
        <f aca="false">COUNTIFS(Работы!$L$2:$L$450,"Наумова Т.Ю.",Работы!$M$2:$M$450,"&lt;&gt;Снято с плана")</f>
        <v>14</v>
      </c>
      <c r="C73" s="9" t="n">
        <f aca="false">COUNTIFS(Работы!$L$2:$L$450,"Наумова Т.Ю.",Работы!$M$2:$M$450,"Не начато")</f>
        <v>11</v>
      </c>
      <c r="D73" s="9" t="n">
        <f aca="false">COUNTIFS(Работы!$L$2:$L$450,"Наумова Т.Ю.",Работы!$M$2:$M$450,"В работе")</f>
        <v>2</v>
      </c>
      <c r="E73" s="9" t="n">
        <f aca="false">COUNTIFS(Работы!$L$2:$L$450,"Наумова Т.Ю.",Работы!$M$2:$M$450,"Выполнено, ждёт акта")</f>
        <v>1</v>
      </c>
      <c r="F73" s="9" t="n">
        <f aca="false">COUNTIFS(Работы!$L$2:$L$450,"Наумова Т.Ю.",Работы!$M$2:$M$450,"Принято с актом")</f>
        <v>0</v>
      </c>
      <c r="G73" s="9" t="n">
        <f aca="false">COUNTIFS(Работы!$L$2:$L$450,"Наумова Т.Ю.",Работы!$M$2:$M$450,"Отложено на зиму")</f>
        <v>0</v>
      </c>
      <c r="H73" s="9" t="n">
        <f aca="false">COUNTIFS(Работы!$L$2:$L$450,"Наумова Т.Ю.",Работы!$M$2:$M$450,"Нужно решение")</f>
        <v>0</v>
      </c>
      <c r="I73" s="7" t="n">
        <f aca="false">COUNTIFS(Работы!$L$2:$L$450,"Наумова Т.Ю.",Работы!$P$2:$P$450,"&gt;0")</f>
        <v>0</v>
      </c>
      <c r="J73" s="17" t="n">
        <f aca="false">IF(B73=0,"",(E73+F73)/B73)</f>
        <v>0.0714285714285714</v>
      </c>
      <c r="K73" s="8" t="n">
        <f aca="false">IF(B73=0,"",F73/B73)</f>
        <v>0</v>
      </c>
    </row>
    <row r="75" customFormat="false" ht="15" hidden="false" customHeight="false" outlineLevel="0" collapsed="false">
      <c r="A75" s="3" t="s">
        <v>110</v>
      </c>
    </row>
    <row r="77" customFormat="false" ht="30" hidden="false" customHeight="true" outlineLevel="0" collapsed="false">
      <c r="A77" s="5" t="s">
        <v>111</v>
      </c>
      <c r="B77" s="5" t="s">
        <v>73</v>
      </c>
      <c r="C77" s="5" t="s">
        <v>10</v>
      </c>
      <c r="D77" s="5" t="s">
        <v>13</v>
      </c>
      <c r="E77" s="5" t="s">
        <v>74</v>
      </c>
      <c r="F77" s="5" t="s">
        <v>75</v>
      </c>
      <c r="G77" s="5" t="s">
        <v>76</v>
      </c>
      <c r="H77" s="5" t="s">
        <v>24</v>
      </c>
      <c r="I77" s="5" t="s">
        <v>77</v>
      </c>
      <c r="J77" s="5" t="s">
        <v>78</v>
      </c>
      <c r="K77" s="5" t="s">
        <v>79</v>
      </c>
    </row>
    <row r="78" customFormat="false" ht="15" hidden="false" customHeight="false" outlineLevel="0" collapsed="false">
      <c r="A78" s="16" t="s">
        <v>112</v>
      </c>
      <c r="B78" s="9" t="n">
        <f aca="false">COUNTIFS(Работы!$E$2:$E$450,"УК «СВ»",Работы!$M$2:$M$450,"&lt;&gt;Снято с плана")</f>
        <v>320</v>
      </c>
      <c r="C78" s="9" t="n">
        <f aca="false">COUNTIFS(Работы!$E$2:$E$450,"УК «СВ»",Работы!$M$2:$M$450,"Не начато")</f>
        <v>64</v>
      </c>
      <c r="D78" s="9" t="n">
        <f aca="false">COUNTIFS(Работы!$E$2:$E$450,"УК «СВ»",Работы!$M$2:$M$450,"В работе")</f>
        <v>27</v>
      </c>
      <c r="E78" s="9" t="n">
        <f aca="false">COUNTIFS(Работы!$E$2:$E$450,"УК «СВ»",Работы!$M$2:$M$450,"Выполнено, ждёт акта")</f>
        <v>125</v>
      </c>
      <c r="F78" s="9" t="n">
        <f aca="false">COUNTIFS(Работы!$E$2:$E$450,"УК «СВ»",Работы!$M$2:$M$450,"Принято с актом")</f>
        <v>85</v>
      </c>
      <c r="G78" s="9" t="n">
        <f aca="false">COUNTIFS(Работы!$E$2:$E$450,"УК «СВ»",Работы!$M$2:$M$450,"Отложено на зиму")</f>
        <v>6</v>
      </c>
      <c r="H78" s="9" t="n">
        <f aca="false">COUNTIFS(Работы!$E$2:$E$450,"УК «СВ»",Работы!$M$2:$M$450,"Нужно решение")</f>
        <v>13</v>
      </c>
      <c r="I78" s="7" t="n">
        <f aca="false">COUNTIFS(Работы!$E$2:$E$450,"УК «СВ»",Работы!$P$2:$P$450,"&gt;0")</f>
        <v>66</v>
      </c>
      <c r="J78" s="17" t="n">
        <f aca="false">IF(B78=0,"",(E78+F78)/B78)</f>
        <v>0.65625</v>
      </c>
      <c r="K78" s="8" t="n">
        <f aca="false">IF(B78=0,"",F78/B78)</f>
        <v>0.265625</v>
      </c>
    </row>
    <row r="79" customFormat="false" ht="15" hidden="false" customHeight="false" outlineLevel="0" collapsed="false">
      <c r="A79" s="16" t="s">
        <v>113</v>
      </c>
      <c r="B79" s="9" t="n">
        <f aca="false">COUNTIFS(Работы!$E$2:$E$450,"УК «Союз»",Работы!$M$2:$M$450,"&lt;&gt;Снято с плана")</f>
        <v>73</v>
      </c>
      <c r="C79" s="9" t="n">
        <f aca="false">COUNTIFS(Работы!$E$2:$E$450,"УК «Союз»",Работы!$M$2:$M$450,"Не начато")</f>
        <v>26</v>
      </c>
      <c r="D79" s="9" t="n">
        <f aca="false">COUNTIFS(Работы!$E$2:$E$450,"УК «Союз»",Работы!$M$2:$M$450,"В работе")</f>
        <v>9</v>
      </c>
      <c r="E79" s="9" t="n">
        <f aca="false">COUNTIFS(Работы!$E$2:$E$450,"УК «Союз»",Работы!$M$2:$M$450,"Выполнено, ждёт акта")</f>
        <v>24</v>
      </c>
      <c r="F79" s="9" t="n">
        <f aca="false">COUNTIFS(Работы!$E$2:$E$450,"УК «Союз»",Работы!$M$2:$M$450,"Принято с актом")</f>
        <v>9</v>
      </c>
      <c r="G79" s="9" t="n">
        <f aca="false">COUNTIFS(Работы!$E$2:$E$450,"УК «Союз»",Работы!$M$2:$M$450,"Отложено на зиму")</f>
        <v>3</v>
      </c>
      <c r="H79" s="9" t="n">
        <f aca="false">COUNTIFS(Работы!$E$2:$E$450,"УК «Союз»",Работы!$M$2:$M$450,"Нужно решение")</f>
        <v>2</v>
      </c>
      <c r="I79" s="7" t="n">
        <f aca="false">COUNTIFS(Работы!$E$2:$E$450,"УК «Союз»",Работы!$P$2:$P$450,"&gt;0")</f>
        <v>23</v>
      </c>
      <c r="J79" s="17" t="n">
        <f aca="false">IF(B79=0,"",(E79+F79)/B79)</f>
        <v>0.452054794520548</v>
      </c>
      <c r="K79" s="8" t="n">
        <f aca="false">IF(B79=0,"",F79/B79)</f>
        <v>0.123287671232877</v>
      </c>
    </row>
    <row r="80" customFormat="false" ht="15" hidden="false" customHeight="false" outlineLevel="0" collapsed="false">
      <c r="A80" s="16" t="s">
        <v>114</v>
      </c>
      <c r="B80" s="9" t="n">
        <f aca="false">COUNTIFS(Работы!$E$2:$E$450,"УК «Домовой»",Работы!$M$2:$M$450,"&lt;&gt;Снято с плана")</f>
        <v>42</v>
      </c>
      <c r="C80" s="9" t="n">
        <f aca="false">COUNTIFS(Работы!$E$2:$E$450,"УК «Домовой»",Работы!$M$2:$M$450,"Не начато")</f>
        <v>16</v>
      </c>
      <c r="D80" s="9" t="n">
        <f aca="false">COUNTIFS(Работы!$E$2:$E$450,"УК «Домовой»",Работы!$M$2:$M$450,"В работе")</f>
        <v>0</v>
      </c>
      <c r="E80" s="9" t="n">
        <f aca="false">COUNTIFS(Работы!$E$2:$E$450,"УК «Домовой»",Работы!$M$2:$M$450,"Выполнено, ждёт акта")</f>
        <v>10</v>
      </c>
      <c r="F80" s="9" t="n">
        <f aca="false">COUNTIFS(Работы!$E$2:$E$450,"УК «Домовой»",Работы!$M$2:$M$450,"Принято с актом")</f>
        <v>16</v>
      </c>
      <c r="G80" s="9" t="n">
        <f aca="false">COUNTIFS(Работы!$E$2:$E$450,"УК «Домовой»",Работы!$M$2:$M$450,"Отложено на зиму")</f>
        <v>0</v>
      </c>
      <c r="H80" s="9" t="n">
        <f aca="false">COUNTIFS(Работы!$E$2:$E$450,"УК «Домовой»",Работы!$M$2:$M$450,"Нужно решение")</f>
        <v>0</v>
      </c>
      <c r="I80" s="7" t="n">
        <f aca="false">COUNTIFS(Работы!$E$2:$E$450,"УК «Домовой»",Работы!$P$2:$P$450,"&gt;0")</f>
        <v>16</v>
      </c>
      <c r="J80" s="17" t="n">
        <f aca="false">IF(B80=0,"",(E80+F80)/B80)</f>
        <v>0.619047619047619</v>
      </c>
      <c r="K80" s="8" t="n">
        <f aca="false">IF(B80=0,"",F80/B80)</f>
        <v>0.380952380952381</v>
      </c>
    </row>
    <row r="81" customFormat="false" ht="15" hidden="false" customHeight="false" outlineLevel="0" collapsed="false">
      <c r="A81" s="16" t="s">
        <v>115</v>
      </c>
      <c r="B81" s="9" t="n">
        <f aca="false">COUNTIFS(Работы!$E$2:$E$450,"ТСЖ «Звезда»",Работы!$M$2:$M$450,"&lt;&gt;Снято с плана")</f>
        <v>2</v>
      </c>
      <c r="C81" s="9" t="n">
        <f aca="false">COUNTIFS(Работы!$E$2:$E$450,"ТСЖ «Звезда»",Работы!$M$2:$M$450,"Не начато")</f>
        <v>2</v>
      </c>
      <c r="D81" s="9" t="n">
        <f aca="false">COUNTIFS(Работы!$E$2:$E$450,"ТСЖ «Звезда»",Работы!$M$2:$M$450,"В работе")</f>
        <v>0</v>
      </c>
      <c r="E81" s="9" t="n">
        <f aca="false">COUNTIFS(Работы!$E$2:$E$450,"ТСЖ «Звезда»",Работы!$M$2:$M$450,"Выполнено, ждёт акта")</f>
        <v>0</v>
      </c>
      <c r="F81" s="9" t="n">
        <f aca="false">COUNTIFS(Работы!$E$2:$E$450,"ТСЖ «Звезда»",Работы!$M$2:$M$450,"Принято с актом")</f>
        <v>0</v>
      </c>
      <c r="G81" s="9" t="n">
        <f aca="false">COUNTIFS(Работы!$E$2:$E$450,"ТСЖ «Звезда»",Работы!$M$2:$M$450,"Отложено на зиму")</f>
        <v>0</v>
      </c>
      <c r="H81" s="9" t="n">
        <f aca="false">COUNTIFS(Работы!$E$2:$E$450,"ТСЖ «Звезда»",Работы!$M$2:$M$450,"Нужно решение")</f>
        <v>0</v>
      </c>
      <c r="I81" s="7" t="n">
        <f aca="false">COUNTIFS(Работы!$E$2:$E$450,"ТСЖ «Звезда»",Работы!$P$2:$P$450,"&gt;0")</f>
        <v>1</v>
      </c>
      <c r="J81" s="17" t="n">
        <f aca="false">IF(B81=0,"",(E81+F81)/B81)</f>
        <v>0</v>
      </c>
      <c r="K81" s="8" t="n">
        <f aca="false">IF(B81=0,"",F81/B81)</f>
        <v>0</v>
      </c>
    </row>
    <row r="82" customFormat="false" ht="15" hidden="false" customHeight="false" outlineLevel="0" collapsed="false">
      <c r="A82" s="16" t="s">
        <v>116</v>
      </c>
      <c r="B82" s="9" t="n">
        <f aca="false">COUNTIFS(Работы!$E$2:$E$450,"УК «Домок»",Работы!$M$2:$M$450,"&lt;&gt;Снято с плана")</f>
        <v>1</v>
      </c>
      <c r="C82" s="9" t="n">
        <f aca="false">COUNTIFS(Работы!$E$2:$E$450,"УК «Домок»",Работы!$M$2:$M$450,"Не начато")</f>
        <v>0</v>
      </c>
      <c r="D82" s="9" t="n">
        <f aca="false">COUNTIFS(Работы!$E$2:$E$450,"УК «Домок»",Работы!$M$2:$M$450,"В работе")</f>
        <v>0</v>
      </c>
      <c r="E82" s="9" t="n">
        <f aca="false">COUNTIFS(Работы!$E$2:$E$450,"УК «Домок»",Работы!$M$2:$M$450,"Выполнено, ждёт акта")</f>
        <v>0</v>
      </c>
      <c r="F82" s="9" t="n">
        <f aca="false">COUNTIFS(Работы!$E$2:$E$450,"УК «Домок»",Работы!$M$2:$M$450,"Принято с актом")</f>
        <v>0</v>
      </c>
      <c r="G82" s="9" t="n">
        <f aca="false">COUNTIFS(Работы!$E$2:$E$450,"УК «Домок»",Работы!$M$2:$M$450,"Отложено на зиму")</f>
        <v>0</v>
      </c>
      <c r="H82" s="9" t="n">
        <f aca="false">COUNTIFS(Работы!$E$2:$E$450,"УК «Домок»",Работы!$M$2:$M$450,"Нужно решение")</f>
        <v>1</v>
      </c>
      <c r="I82" s="7" t="n">
        <f aca="false">COUNTIFS(Работы!$E$2:$E$450,"УК «Домок»",Работы!$P$2:$P$450,"&gt;0")</f>
        <v>1</v>
      </c>
      <c r="J82" s="17" t="n">
        <f aca="false">IF(B82=0,"",(E82+F82)/B82)</f>
        <v>0</v>
      </c>
      <c r="K82" s="8" t="n">
        <f aca="false">IF(B82=0,"",F82/B82)</f>
        <v>0</v>
      </c>
    </row>
    <row r="83" customFormat="false" ht="15" hidden="false" customHeight="false" outlineLevel="0" collapsed="false">
      <c r="A83" s="16" t="s">
        <v>117</v>
      </c>
      <c r="B83" s="9" t="n">
        <f aca="false">COUNTIFS(Работы!$E$2:$E$450,"УК МИДЕ",Работы!$M$2:$M$450,"&lt;&gt;Снято с плана")</f>
        <v>1</v>
      </c>
      <c r="C83" s="9" t="n">
        <f aca="false">COUNTIFS(Работы!$E$2:$E$450,"УК МИДЕ",Работы!$M$2:$M$450,"Не начато")</f>
        <v>0</v>
      </c>
      <c r="D83" s="9" t="n">
        <f aca="false">COUNTIFS(Работы!$E$2:$E$450,"УК МИДЕ",Работы!$M$2:$M$450,"В работе")</f>
        <v>0</v>
      </c>
      <c r="E83" s="9" t="n">
        <f aca="false">COUNTIFS(Работы!$E$2:$E$450,"УК МИДЕ",Работы!$M$2:$M$450,"Выполнено, ждёт акта")</f>
        <v>1</v>
      </c>
      <c r="F83" s="9" t="n">
        <f aca="false">COUNTIFS(Работы!$E$2:$E$450,"УК МИДЕ",Работы!$M$2:$M$450,"Принято с актом")</f>
        <v>0</v>
      </c>
      <c r="G83" s="9" t="n">
        <f aca="false">COUNTIFS(Работы!$E$2:$E$450,"УК МИДЕ",Работы!$M$2:$M$450,"Отложено на зиму")</f>
        <v>0</v>
      </c>
      <c r="H83" s="9" t="n">
        <f aca="false">COUNTIFS(Работы!$E$2:$E$450,"УК МИДЕ",Работы!$M$2:$M$450,"Нужно решение")</f>
        <v>0</v>
      </c>
      <c r="I83" s="7" t="n">
        <f aca="false">COUNTIFS(Работы!$E$2:$E$450,"УК МИДЕ",Работы!$P$2:$P$450,"&gt;0")</f>
        <v>0</v>
      </c>
      <c r="J83" s="17" t="n">
        <f aca="false">IF(B83=0,"",(E83+F83)/B83)</f>
        <v>1</v>
      </c>
      <c r="K83" s="8" t="n">
        <f aca="false">IF(B83=0,"",F83/B83)</f>
        <v>0</v>
      </c>
    </row>
    <row r="85" customFormat="false" ht="15" hidden="false" customHeight="false" outlineLevel="0" collapsed="false">
      <c r="A85" s="4" t="s">
        <v>118</v>
      </c>
    </row>
  </sheetData>
  <mergeCells count="46">
    <mergeCell ref="A2:L2"/>
    <mergeCell ref="E7:H7"/>
    <mergeCell ref="I7:L7"/>
    <mergeCell ref="E8:H8"/>
    <mergeCell ref="I8:L8"/>
    <mergeCell ref="E9:H9"/>
    <mergeCell ref="I9:L9"/>
    <mergeCell ref="E10:H10"/>
    <mergeCell ref="I10:L10"/>
    <mergeCell ref="E11:H11"/>
    <mergeCell ref="I11:L11"/>
    <mergeCell ref="E12:H12"/>
    <mergeCell ref="I12:L12"/>
    <mergeCell ref="E13:H13"/>
    <mergeCell ref="I13:L13"/>
    <mergeCell ref="E14:H14"/>
    <mergeCell ref="I14:L14"/>
    <mergeCell ref="E15:H15"/>
    <mergeCell ref="I15:L15"/>
    <mergeCell ref="C27:D27"/>
    <mergeCell ref="E27:H27"/>
    <mergeCell ref="I27:L27"/>
    <mergeCell ref="C28:D28"/>
    <mergeCell ref="E28:H28"/>
    <mergeCell ref="I28:L28"/>
    <mergeCell ref="C29:D29"/>
    <mergeCell ref="E29:H29"/>
    <mergeCell ref="I29:L29"/>
    <mergeCell ref="C30:D30"/>
    <mergeCell ref="E30:H30"/>
    <mergeCell ref="I30:L30"/>
    <mergeCell ref="C31:D31"/>
    <mergeCell ref="E31:H31"/>
    <mergeCell ref="I31:L31"/>
    <mergeCell ref="C32:D32"/>
    <mergeCell ref="E32:H32"/>
    <mergeCell ref="I32:L32"/>
    <mergeCell ref="C33:D33"/>
    <mergeCell ref="E33:H33"/>
    <mergeCell ref="I33:L33"/>
    <mergeCell ref="C34:D34"/>
    <mergeCell ref="E34:H34"/>
    <mergeCell ref="I34:L34"/>
    <mergeCell ref="C35:D35"/>
    <mergeCell ref="E35:H35"/>
    <mergeCell ref="I35:L35"/>
  </mergeCells>
  <conditionalFormatting sqref="D8:D14">
    <cfRule type="cellIs" priority="2" operator="greaterThan" aboveAverage="0" equalAverage="0" bottom="0" percent="0" rank="0" text="" dxfId="0">
      <formula>0</formula>
    </cfRule>
  </conditionalFormatting>
  <conditionalFormatting sqref="B41:I51">
    <cfRule type="cellIs" priority="3" operator="equal" aboveAverage="0" equalAverage="0" bottom="0" percent="0" rank="0" text="" dxfId="1">
      <formula>0</formula>
    </cfRule>
  </conditionalFormatting>
  <conditionalFormatting sqref="I41:I51">
    <cfRule type="cellIs" priority="4" operator="greaterThan" aboveAverage="0" equalAverage="0" bottom="0" percent="0" rank="0" text="" dxfId="0">
      <formula>0</formula>
    </cfRule>
  </conditionalFormatting>
  <conditionalFormatting sqref="J41:J51">
    <cfRule type="dataBar" priority="5">
      <dataBar showValue="1" minLength="10" maxLength="90">
        <cfvo type="num" val="0"/>
        <cfvo type="num" val="1"/>
        <color rgb="FF2E7D3A"/>
      </dataBar>
      <extLst>
        <ext xmlns:x14="http://schemas.microsoft.com/office/spreadsheetml/2009/9/main" uri="{B025F937-C7B1-47D3-B67F-A62EFF666E3E}">
          <x14:id>{8B29A5A6-6BC6-4E7C-865C-90AD70F7AA40}</x14:id>
        </ext>
      </extLst>
    </cfRule>
  </conditionalFormatting>
  <conditionalFormatting sqref="L41:L51">
    <cfRule type="expression" priority="6" aboveAverage="0" equalAverage="0" bottom="0" percent="0" rank="0" text="" dxfId="2">
      <formula>$L41="просрочен"</formula>
    </cfRule>
    <cfRule type="expression" priority="7" aboveAverage="0" equalAverage="0" bottom="0" percent="0" rank="0" text="" dxfId="3">
      <formula>LEFT($L41,8)="без акта"</formula>
    </cfRule>
    <cfRule type="expression" priority="8" aboveAverage="0" equalAverage="0" bottom="0" percent="0" rank="0" text="" dxfId="4">
      <formula>$L41="закрыт"</formula>
    </cfRule>
    <cfRule type="expression" priority="9" aboveAverage="0" equalAverage="0" bottom="0" percent="0" rank="0" text="" dxfId="5">
      <formula>$L41="идёт сейчас"</formula>
    </cfRule>
    <cfRule type="expression" priority="10" aboveAverage="0" equalAverage="0" bottom="0" percent="0" rank="0" text="" dxfId="6">
      <formula>$L41="впереди"</formula>
    </cfRule>
  </conditionalFormatting>
  <conditionalFormatting sqref="B57:I59">
    <cfRule type="cellIs" priority="11" operator="equal" aboveAverage="0" equalAverage="0" bottom="0" percent="0" rank="0" text="" dxfId="1">
      <formula>0</formula>
    </cfRule>
  </conditionalFormatting>
  <conditionalFormatting sqref="I57:I59">
    <cfRule type="cellIs" priority="12" operator="greaterThan" aboveAverage="0" equalAverage="0" bottom="0" percent="0" rank="0" text="" dxfId="0">
      <formula>0</formula>
    </cfRule>
  </conditionalFormatting>
  <conditionalFormatting sqref="J57:J59">
    <cfRule type="dataBar" priority="13">
      <dataBar showValue="1" minLength="10" maxLength="90">
        <cfvo type="num" val="0"/>
        <cfvo type="num" val="1"/>
        <color rgb="FF2E7D3A"/>
      </dataBar>
      <extLst>
        <ext xmlns:x14="http://schemas.microsoft.com/office/spreadsheetml/2009/9/main" uri="{B025F937-C7B1-47D3-B67F-A62EFF666E3E}">
          <x14:id>{E5DFE8B1-5C38-41A7-9AB9-2AC9C95D3EB0}</x14:id>
        </ext>
      </extLst>
    </cfRule>
  </conditionalFormatting>
  <conditionalFormatting sqref="B64:I73">
    <cfRule type="cellIs" priority="14" operator="equal" aboveAverage="0" equalAverage="0" bottom="0" percent="0" rank="0" text="" dxfId="1">
      <formula>0</formula>
    </cfRule>
  </conditionalFormatting>
  <conditionalFormatting sqref="I64:I73">
    <cfRule type="cellIs" priority="15" operator="greaterThan" aboveAverage="0" equalAverage="0" bottom="0" percent="0" rank="0" text="" dxfId="0">
      <formula>0</formula>
    </cfRule>
  </conditionalFormatting>
  <conditionalFormatting sqref="J64:J73">
    <cfRule type="dataBar" priority="16">
      <dataBar showValue="1" minLength="10" maxLength="90">
        <cfvo type="num" val="0"/>
        <cfvo type="num" val="1"/>
        <color rgb="FF2E7D3A"/>
      </dataBar>
      <extLst>
        <ext xmlns:x14="http://schemas.microsoft.com/office/spreadsheetml/2009/9/main" uri="{B025F937-C7B1-47D3-B67F-A62EFF666E3E}">
          <x14:id>{C089B98A-16D0-4BC8-AB5B-6D8BB7EECA20}</x14:id>
        </ext>
      </extLst>
    </cfRule>
  </conditionalFormatting>
  <conditionalFormatting sqref="B78:I83">
    <cfRule type="cellIs" priority="17" operator="equal" aboveAverage="0" equalAverage="0" bottom="0" percent="0" rank="0" text="" dxfId="1">
      <formula>0</formula>
    </cfRule>
  </conditionalFormatting>
  <conditionalFormatting sqref="I78:I83">
    <cfRule type="cellIs" priority="18" operator="greaterThan" aboveAverage="0" equalAverage="0" bottom="0" percent="0" rank="0" text="" dxfId="0">
      <formula>0</formula>
    </cfRule>
  </conditionalFormatting>
  <conditionalFormatting sqref="J78:J83">
    <cfRule type="dataBar" priority="19">
      <dataBar showValue="1" minLength="10" maxLength="90">
        <cfvo type="num" val="0"/>
        <cfvo type="num" val="1"/>
        <color rgb="FF2E7D3A"/>
      </dataBar>
      <extLst>
        <ext xmlns:x14="http://schemas.microsoft.com/office/spreadsheetml/2009/9/main" uri="{B025F937-C7B1-47D3-B67F-A62EFF666E3E}">
          <x14:id>{70C3B14F-3ADD-4537-934F-8AFC1430555B}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29A5A6-6BC6-4E7C-865C-90AD70F7AA4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3A"/>
              <x14:axisColor rgb="FF000000"/>
            </x14:dataBar>
          </x14:cfRule>
          <xm:sqref>J41:J51</xm:sqref>
        </x14:conditionalFormatting>
        <x14:conditionalFormatting xmlns:xm="http://schemas.microsoft.com/office/excel/2006/main">
          <x14:cfRule type="dataBar" id="{E5DFE8B1-5C38-41A7-9AB9-2AC9C95D3EB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3A"/>
              <x14:axisColor rgb="FF000000"/>
            </x14:dataBar>
          </x14:cfRule>
          <xm:sqref>J57:J59</xm:sqref>
        </x14:conditionalFormatting>
        <x14:conditionalFormatting xmlns:xm="http://schemas.microsoft.com/office/excel/2006/main">
          <x14:cfRule type="dataBar" id="{C089B98A-16D0-4BC8-AB5B-6D8BB7EECA2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3A"/>
              <x14:axisColor rgb="FF000000"/>
            </x14:dataBar>
          </x14:cfRule>
          <xm:sqref>J64:J73</xm:sqref>
        </x14:conditionalFormatting>
        <x14:conditionalFormatting xmlns:xm="http://schemas.microsoft.com/office/excel/2006/main">
          <x14:cfRule type="dataBar" id="{70C3B14F-3ADD-4537-934F-8AFC1430555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3A"/>
              <x14:axisColor rgb="FF000000"/>
            </x14:dataBar>
          </x14:cfRule>
          <xm:sqref>J78:J83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4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1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4" min="12" style="0" width="20"/>
    <col collapsed="false" customWidth="true" hidden="false" outlineLevel="0" max="15" min="15" style="0" width="18"/>
    <col collapsed="false" customWidth="true" hidden="false" outlineLevel="0" max="16" min="16" style="0" width="11"/>
    <col collapsed="false" customWidth="true" hidden="false" outlineLevel="0" max="17" min="17" style="0" width="16"/>
    <col collapsed="false" customWidth="true" hidden="false" outlineLevel="0" max="18" min="18" style="0" width="26"/>
    <col collapsed="false" customWidth="true" hidden="false" outlineLevel="0" max="19" min="19" style="0" width="40"/>
    <col collapsed="false" customWidth="true" hidden="false" outlineLevel="0" max="20" min="20" style="0" width="50"/>
    <col collapsed="false" customWidth="true" hidden="false" outlineLevel="0" max="21" min="21" style="0" width="9"/>
  </cols>
  <sheetData>
    <row r="1" customFormat="false" ht="30" hidden="false" customHeight="true" outlineLevel="0" collapsed="false">
      <c r="A1" s="5" t="s">
        <v>119</v>
      </c>
      <c r="B1" s="5" t="s">
        <v>72</v>
      </c>
      <c r="C1" s="5" t="s">
        <v>120</v>
      </c>
      <c r="D1" s="5" t="s">
        <v>121</v>
      </c>
      <c r="E1" s="5" t="s">
        <v>111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35</v>
      </c>
      <c r="K1" s="5" t="s">
        <v>94</v>
      </c>
      <c r="L1" s="5" t="s">
        <v>99</v>
      </c>
      <c r="M1" s="5" t="s">
        <v>4</v>
      </c>
      <c r="N1" s="5" t="s">
        <v>126</v>
      </c>
      <c r="O1" s="5" t="s">
        <v>127</v>
      </c>
      <c r="P1" s="5" t="s">
        <v>128</v>
      </c>
      <c r="Q1" s="5" t="s">
        <v>129</v>
      </c>
      <c r="R1" s="5" t="s">
        <v>130</v>
      </c>
      <c r="S1" s="5" t="s">
        <v>131</v>
      </c>
      <c r="T1" s="5" t="s">
        <v>132</v>
      </c>
      <c r="U1" s="5" t="s">
        <v>133</v>
      </c>
    </row>
    <row r="2" customFormat="false" ht="23.85" hidden="false" customHeight="false" outlineLevel="0" collapsed="false">
      <c r="A2" s="10" t="n">
        <v>1</v>
      </c>
      <c r="B2" s="10" t="s">
        <v>81</v>
      </c>
      <c r="C2" s="21" t="n">
        <v>46081</v>
      </c>
      <c r="D2" s="10" t="s">
        <v>134</v>
      </c>
      <c r="E2" s="10" t="s">
        <v>112</v>
      </c>
      <c r="F2" s="10" t="s">
        <v>135</v>
      </c>
      <c r="G2" s="10" t="s">
        <v>136</v>
      </c>
      <c r="H2" s="10" t="s">
        <v>137</v>
      </c>
      <c r="I2" s="9" t="n">
        <v>600000</v>
      </c>
      <c r="J2" s="9" t="n">
        <v>732490.26</v>
      </c>
      <c r="K2" s="10" t="s">
        <v>97</v>
      </c>
      <c r="L2" s="10" t="s">
        <v>100</v>
      </c>
      <c r="M2" s="16" t="str">
        <f aca="false">IFERROR(VLOOKUP(N2,Словарь!$A$2:$B$15,2,FALSE()),"Нужно решение")</f>
        <v>Принято с актом</v>
      </c>
      <c r="N2" s="10" t="s">
        <v>138</v>
      </c>
      <c r="O2" s="10" t="s">
        <v>139</v>
      </c>
      <c r="P2" s="22" t="str">
        <f aca="true">IF(AND(OR(M2="Не начато",M2="В работе",M2="Нужно решение"),C2&lt;TODAY()),TODAY()-C2,"")</f>
        <v/>
      </c>
      <c r="Q2" s="10"/>
      <c r="R2" s="10"/>
      <c r="S2" s="10"/>
      <c r="T2" s="10" t="s">
        <v>140</v>
      </c>
      <c r="U2" s="10" t="n">
        <v>8</v>
      </c>
    </row>
    <row r="3" customFormat="false" ht="23.85" hidden="false" customHeight="false" outlineLevel="0" collapsed="false">
      <c r="A3" s="10" t="n">
        <v>2</v>
      </c>
      <c r="B3" s="10" t="s">
        <v>81</v>
      </c>
      <c r="C3" s="21" t="n">
        <v>46081</v>
      </c>
      <c r="D3" s="10" t="s">
        <v>134</v>
      </c>
      <c r="E3" s="10" t="s">
        <v>112</v>
      </c>
      <c r="F3" s="10" t="s">
        <v>141</v>
      </c>
      <c r="G3" s="10" t="s">
        <v>142</v>
      </c>
      <c r="H3" s="10" t="s">
        <v>137</v>
      </c>
      <c r="I3" s="9" t="n">
        <v>50000</v>
      </c>
      <c r="J3" s="9" t="n">
        <v>19528.71</v>
      </c>
      <c r="K3" s="10" t="s">
        <v>96</v>
      </c>
      <c r="L3" s="10" t="s">
        <v>102</v>
      </c>
      <c r="M3" s="16" t="str">
        <f aca="false">IFERROR(VLOOKUP(N3,Словарь!$A$2:$B$15,2,FALSE()),"Нужно решение")</f>
        <v>Принято с актом</v>
      </c>
      <c r="N3" s="10" t="s">
        <v>138</v>
      </c>
      <c r="O3" s="10" t="s">
        <v>139</v>
      </c>
      <c r="P3" s="22" t="str">
        <f aca="true">IF(AND(OR(M3="Не начато",M3="В работе",M3="Нужно решение"),C3&lt;TODAY()),TODAY()-C3,"")</f>
        <v/>
      </c>
      <c r="Q3" s="10" t="s">
        <v>143</v>
      </c>
      <c r="R3" s="10" t="s">
        <v>144</v>
      </c>
      <c r="S3" s="10"/>
      <c r="T3" s="10" t="s">
        <v>145</v>
      </c>
      <c r="U3" s="10" t="n">
        <v>9</v>
      </c>
    </row>
    <row r="4" customFormat="false" ht="23.85" hidden="false" customHeight="false" outlineLevel="0" collapsed="false">
      <c r="A4" s="10" t="n">
        <v>3</v>
      </c>
      <c r="B4" s="10" t="s">
        <v>81</v>
      </c>
      <c r="C4" s="21" t="n">
        <v>46081</v>
      </c>
      <c r="D4" s="10" t="s">
        <v>146</v>
      </c>
      <c r="E4" s="10" t="s">
        <v>112</v>
      </c>
      <c r="F4" s="10" t="s">
        <v>147</v>
      </c>
      <c r="G4" s="10" t="s">
        <v>148</v>
      </c>
      <c r="H4" s="10" t="s">
        <v>149</v>
      </c>
      <c r="I4" s="9" t="n">
        <v>64000</v>
      </c>
      <c r="J4" s="9"/>
      <c r="K4" s="10" t="s">
        <v>96</v>
      </c>
      <c r="L4" s="10" t="s">
        <v>103</v>
      </c>
      <c r="M4" s="16" t="str">
        <f aca="false">IFERROR(VLOOKUP(N4,Словарь!$A$2:$B$15,2,FALSE()),"Нужно решение")</f>
        <v>Выполнено, ждёт акта</v>
      </c>
      <c r="N4" s="10" t="s">
        <v>150</v>
      </c>
      <c r="O4" s="10" t="s">
        <v>151</v>
      </c>
      <c r="P4" s="22" t="str">
        <f aca="true">IF(AND(OR(M4="Не начато",M4="В работе",M4="Нужно решение"),C4&lt;TODAY()),TODAY()-C4,"")</f>
        <v/>
      </c>
      <c r="Q4" s="10" t="s">
        <v>143</v>
      </c>
      <c r="R4" s="10" t="s">
        <v>144</v>
      </c>
      <c r="S4" s="10"/>
      <c r="T4" s="10" t="s">
        <v>152</v>
      </c>
      <c r="U4" s="10" t="n">
        <v>10</v>
      </c>
    </row>
    <row r="5" customFormat="false" ht="23.85" hidden="false" customHeight="false" outlineLevel="0" collapsed="false">
      <c r="A5" s="10" t="n">
        <v>4</v>
      </c>
      <c r="B5" s="10" t="s">
        <v>81</v>
      </c>
      <c r="C5" s="21" t="n">
        <v>46081</v>
      </c>
      <c r="D5" s="10" t="s">
        <v>153</v>
      </c>
      <c r="E5" s="10" t="s">
        <v>112</v>
      </c>
      <c r="F5" s="10" t="s">
        <v>154</v>
      </c>
      <c r="G5" s="10" t="s">
        <v>148</v>
      </c>
      <c r="H5" s="10"/>
      <c r="I5" s="9" t="n">
        <v>201265.04</v>
      </c>
      <c r="J5" s="9" t="n">
        <v>201265.04</v>
      </c>
      <c r="K5" s="10" t="s">
        <v>97</v>
      </c>
      <c r="L5" s="10" t="s">
        <v>104</v>
      </c>
      <c r="M5" s="16" t="str">
        <f aca="false">IFERROR(VLOOKUP(N5,Словарь!$A$2:$B$15,2,FALSE()),"Нужно решение")</f>
        <v>Принято с актом</v>
      </c>
      <c r="N5" s="10" t="s">
        <v>138</v>
      </c>
      <c r="O5" s="10" t="s">
        <v>155</v>
      </c>
      <c r="P5" s="22" t="str">
        <f aca="true">IF(AND(OR(M5="Не начато",M5="В работе",M5="Нужно решение"),C5&lt;TODAY()),TODAY()-C5,"")</f>
        <v/>
      </c>
      <c r="Q5" s="10" t="s">
        <v>143</v>
      </c>
      <c r="R5" s="10" t="s">
        <v>144</v>
      </c>
      <c r="S5" s="10"/>
      <c r="T5" s="10" t="s">
        <v>145</v>
      </c>
      <c r="U5" s="10" t="n">
        <v>11</v>
      </c>
    </row>
    <row r="6" customFormat="false" ht="23.85" hidden="false" customHeight="false" outlineLevel="0" collapsed="false">
      <c r="A6" s="10" t="n">
        <v>5</v>
      </c>
      <c r="B6" s="10" t="s">
        <v>81</v>
      </c>
      <c r="C6" s="21" t="n">
        <v>46081</v>
      </c>
      <c r="D6" s="10" t="s">
        <v>156</v>
      </c>
      <c r="E6" s="10" t="s">
        <v>112</v>
      </c>
      <c r="F6" s="10" t="s">
        <v>157</v>
      </c>
      <c r="G6" s="10" t="s">
        <v>158</v>
      </c>
      <c r="H6" s="10"/>
      <c r="I6" s="9" t="n">
        <v>50000</v>
      </c>
      <c r="J6" s="9" t="n">
        <v>7750</v>
      </c>
      <c r="K6" s="10" t="s">
        <v>97</v>
      </c>
      <c r="L6" s="10" t="s">
        <v>100</v>
      </c>
      <c r="M6" s="16" t="str">
        <f aca="false">IFERROR(VLOOKUP(N6,Словарь!$A$2:$B$15,2,FALSE()),"Нужно решение")</f>
        <v>Принято с актом</v>
      </c>
      <c r="N6" s="10" t="s">
        <v>138</v>
      </c>
      <c r="O6" s="10" t="s">
        <v>155</v>
      </c>
      <c r="P6" s="22" t="str">
        <f aca="true">IF(AND(OR(M6="Не начато",M6="В работе",M6="Нужно решение"),C6&lt;TODAY()),TODAY()-C6,"")</f>
        <v/>
      </c>
      <c r="Q6" s="10" t="s">
        <v>143</v>
      </c>
      <c r="R6" s="10" t="s">
        <v>159</v>
      </c>
      <c r="S6" s="10"/>
      <c r="T6" s="10" t="s">
        <v>145</v>
      </c>
      <c r="U6" s="10" t="n">
        <v>12</v>
      </c>
    </row>
    <row r="7" customFormat="false" ht="23.85" hidden="false" customHeight="false" outlineLevel="0" collapsed="false">
      <c r="A7" s="10" t="n">
        <v>6</v>
      </c>
      <c r="B7" s="10" t="s">
        <v>81</v>
      </c>
      <c r="C7" s="21" t="n">
        <v>46081</v>
      </c>
      <c r="D7" s="10" t="s">
        <v>160</v>
      </c>
      <c r="E7" s="10" t="s">
        <v>112</v>
      </c>
      <c r="F7" s="10" t="s">
        <v>161</v>
      </c>
      <c r="G7" s="10" t="s">
        <v>162</v>
      </c>
      <c r="H7" s="10" t="s">
        <v>163</v>
      </c>
      <c r="I7" s="9"/>
      <c r="J7" s="9"/>
      <c r="K7" s="10" t="s">
        <v>97</v>
      </c>
      <c r="L7" s="10" t="s">
        <v>101</v>
      </c>
      <c r="M7" s="16" t="str">
        <f aca="false">IFERROR(VLOOKUP(N7,Словарь!$A$2:$B$15,2,FALSE()),"Нужно решение")</f>
        <v>Снято с плана</v>
      </c>
      <c r="N7" s="10" t="s">
        <v>164</v>
      </c>
      <c r="O7" s="10"/>
      <c r="P7" s="22" t="str">
        <f aca="true">IF(AND(OR(M7="Не начато",M7="В работе",M7="Нужно решение"),C7&lt;TODAY()),TODAY()-C7,"")</f>
        <v/>
      </c>
      <c r="Q7" s="10" t="s">
        <v>165</v>
      </c>
      <c r="R7" s="10" t="s">
        <v>144</v>
      </c>
      <c r="S7" s="10"/>
      <c r="T7" s="10" t="s">
        <v>166</v>
      </c>
      <c r="U7" s="10" t="n">
        <v>13</v>
      </c>
    </row>
    <row r="8" customFormat="false" ht="23.85" hidden="false" customHeight="false" outlineLevel="0" collapsed="false">
      <c r="A8" s="10" t="n">
        <v>7</v>
      </c>
      <c r="B8" s="10" t="s">
        <v>81</v>
      </c>
      <c r="C8" s="21" t="n">
        <v>46081</v>
      </c>
      <c r="D8" s="10" t="s">
        <v>167</v>
      </c>
      <c r="E8" s="10" t="s">
        <v>112</v>
      </c>
      <c r="F8" s="10" t="s">
        <v>168</v>
      </c>
      <c r="G8" s="10" t="s">
        <v>169</v>
      </c>
      <c r="H8" s="10" t="s">
        <v>170</v>
      </c>
      <c r="I8" s="9" t="n">
        <v>20000</v>
      </c>
      <c r="J8" s="9"/>
      <c r="K8" s="10" t="s">
        <v>96</v>
      </c>
      <c r="L8" s="10" t="s">
        <v>106</v>
      </c>
      <c r="M8" s="16" t="str">
        <f aca="false">IFERROR(VLOOKUP(N8,Словарь!$A$2:$B$15,2,FALSE()),"Нужно решение")</f>
        <v>Выполнено, ждёт акта</v>
      </c>
      <c r="N8" s="10" t="s">
        <v>150</v>
      </c>
      <c r="O8" s="10" t="s">
        <v>171</v>
      </c>
      <c r="P8" s="22" t="str">
        <f aca="true">IF(AND(OR(M8="Не начато",M8="В работе",M8="Нужно решение"),C8&lt;TODAY()),TODAY()-C8,"")</f>
        <v/>
      </c>
      <c r="Q8" s="10" t="s">
        <v>143</v>
      </c>
      <c r="R8" s="10" t="s">
        <v>144</v>
      </c>
      <c r="S8" s="10"/>
      <c r="T8" s="10" t="s">
        <v>152</v>
      </c>
      <c r="U8" s="10" t="n">
        <v>14</v>
      </c>
    </row>
    <row r="9" customFormat="false" ht="23.85" hidden="false" customHeight="false" outlineLevel="0" collapsed="false">
      <c r="A9" s="10" t="n">
        <v>8</v>
      </c>
      <c r="B9" s="10" t="s">
        <v>81</v>
      </c>
      <c r="C9" s="21" t="n">
        <v>46081</v>
      </c>
      <c r="D9" s="10" t="s">
        <v>172</v>
      </c>
      <c r="E9" s="10" t="s">
        <v>113</v>
      </c>
      <c r="F9" s="10" t="s">
        <v>173</v>
      </c>
      <c r="G9" s="10" t="s">
        <v>174</v>
      </c>
      <c r="H9" s="10"/>
      <c r="I9" s="9" t="n">
        <v>55000</v>
      </c>
      <c r="J9" s="9" t="n">
        <v>94925</v>
      </c>
      <c r="K9" s="10" t="s">
        <v>97</v>
      </c>
      <c r="L9" s="10" t="s">
        <v>101</v>
      </c>
      <c r="M9" s="16" t="str">
        <f aca="false">IFERROR(VLOOKUP(N9,Словарь!$A$2:$B$15,2,FALSE()),"Нужно решение")</f>
        <v>Принято с актом</v>
      </c>
      <c r="N9" s="10" t="s">
        <v>138</v>
      </c>
      <c r="O9" s="10" t="s">
        <v>155</v>
      </c>
      <c r="P9" s="22" t="str">
        <f aca="true">IF(AND(OR(M9="Не начато",M9="В работе",M9="Нужно решение"),C9&lt;TODAY()),TODAY()-C9,"")</f>
        <v/>
      </c>
      <c r="Q9" s="10" t="s">
        <v>143</v>
      </c>
      <c r="R9" s="10" t="s">
        <v>144</v>
      </c>
      <c r="S9" s="10"/>
      <c r="T9" s="10" t="s">
        <v>145</v>
      </c>
      <c r="U9" s="10" t="n">
        <v>15</v>
      </c>
    </row>
    <row r="10" customFormat="false" ht="23.85" hidden="false" customHeight="false" outlineLevel="0" collapsed="false">
      <c r="A10" s="10" t="n">
        <v>9</v>
      </c>
      <c r="B10" s="10" t="s">
        <v>82</v>
      </c>
      <c r="C10" s="21" t="n">
        <v>46112</v>
      </c>
      <c r="D10" s="10" t="s">
        <v>175</v>
      </c>
      <c r="E10" s="10" t="s">
        <v>112</v>
      </c>
      <c r="F10" s="10" t="s">
        <v>176</v>
      </c>
      <c r="G10" s="10" t="s">
        <v>142</v>
      </c>
      <c r="H10" s="10"/>
      <c r="I10" s="9" t="n">
        <v>400000</v>
      </c>
      <c r="J10" s="9" t="n">
        <v>379200.66</v>
      </c>
      <c r="K10" s="10" t="s">
        <v>97</v>
      </c>
      <c r="L10" s="10" t="s">
        <v>104</v>
      </c>
      <c r="M10" s="16" t="str">
        <f aca="false">IFERROR(VLOOKUP(N10,Словарь!$A$2:$B$15,2,FALSE()),"Нужно решение")</f>
        <v>Принято с актом</v>
      </c>
      <c r="N10" s="10" t="s">
        <v>138</v>
      </c>
      <c r="O10" s="10" t="s">
        <v>155</v>
      </c>
      <c r="P10" s="22" t="str">
        <f aca="true">IF(AND(OR(M10="Не начато",M10="В работе",M10="Нужно решение"),C10&lt;TODAY()),TODAY()-C10,"")</f>
        <v/>
      </c>
      <c r="Q10" s="10" t="s">
        <v>143</v>
      </c>
      <c r="R10" s="10" t="s">
        <v>177</v>
      </c>
      <c r="S10" s="10"/>
      <c r="T10" s="10" t="s">
        <v>145</v>
      </c>
      <c r="U10" s="10" t="n">
        <v>18</v>
      </c>
    </row>
    <row r="11" customFormat="false" ht="23.85" hidden="false" customHeight="false" outlineLevel="0" collapsed="false">
      <c r="A11" s="10" t="n">
        <v>10</v>
      </c>
      <c r="B11" s="10" t="s">
        <v>82</v>
      </c>
      <c r="C11" s="21" t="n">
        <v>46112</v>
      </c>
      <c r="D11" s="10" t="s">
        <v>178</v>
      </c>
      <c r="E11" s="10" t="s">
        <v>112</v>
      </c>
      <c r="F11" s="10" t="s">
        <v>179</v>
      </c>
      <c r="G11" s="10" t="s">
        <v>158</v>
      </c>
      <c r="H11" s="10" t="s">
        <v>180</v>
      </c>
      <c r="I11" s="9" t="n">
        <v>234873.82</v>
      </c>
      <c r="J11" s="9" t="n">
        <v>234873.82</v>
      </c>
      <c r="K11" s="10" t="s">
        <v>97</v>
      </c>
      <c r="L11" s="10" t="s">
        <v>100</v>
      </c>
      <c r="M11" s="16" t="str">
        <f aca="false">IFERROR(VLOOKUP(N11,Словарь!$A$2:$B$15,2,FALSE()),"Нужно решение")</f>
        <v>Принято с актом</v>
      </c>
      <c r="N11" s="10" t="s">
        <v>138</v>
      </c>
      <c r="O11" s="10" t="s">
        <v>155</v>
      </c>
      <c r="P11" s="22" t="str">
        <f aca="true">IF(AND(OR(M11="Не начато",M11="В работе",M11="Нужно решение"),C11&lt;TODAY()),TODAY()-C11,"")</f>
        <v/>
      </c>
      <c r="Q11" s="10" t="s">
        <v>143</v>
      </c>
      <c r="R11" s="10" t="s">
        <v>177</v>
      </c>
      <c r="S11" s="10"/>
      <c r="T11" s="10" t="s">
        <v>145</v>
      </c>
      <c r="U11" s="10" t="n">
        <v>19</v>
      </c>
    </row>
    <row r="12" customFormat="false" ht="23.85" hidden="false" customHeight="false" outlineLevel="0" collapsed="false">
      <c r="A12" s="10" t="n">
        <v>11</v>
      </c>
      <c r="B12" s="10" t="s">
        <v>83</v>
      </c>
      <c r="C12" s="21" t="n">
        <v>46142</v>
      </c>
      <c r="D12" s="10" t="s">
        <v>181</v>
      </c>
      <c r="E12" s="10" t="s">
        <v>112</v>
      </c>
      <c r="F12" s="10" t="s">
        <v>182</v>
      </c>
      <c r="G12" s="10" t="s">
        <v>183</v>
      </c>
      <c r="H12" s="10" t="s">
        <v>184</v>
      </c>
      <c r="I12" s="9"/>
      <c r="J12" s="9"/>
      <c r="K12" s="10" t="s">
        <v>97</v>
      </c>
      <c r="L12" s="10" t="s">
        <v>102</v>
      </c>
      <c r="M12" s="16" t="str">
        <f aca="false">IFERROR(VLOOKUP(N12,Словарь!$A$2:$B$15,2,FALSE()),"Нужно решение")</f>
        <v>Принято с актом</v>
      </c>
      <c r="N12" s="10" t="s">
        <v>138</v>
      </c>
      <c r="O12" s="10" t="s">
        <v>139</v>
      </c>
      <c r="P12" s="22" t="str">
        <f aca="true">IF(AND(OR(M12="Не начато",M12="В работе",M12="Нужно решение"),C12&lt;TODAY()),TODAY()-C12,"")</f>
        <v/>
      </c>
      <c r="Q12" s="10" t="s">
        <v>143</v>
      </c>
      <c r="R12" s="10" t="s">
        <v>185</v>
      </c>
      <c r="S12" s="10"/>
      <c r="T12" s="10" t="s">
        <v>145</v>
      </c>
      <c r="U12" s="10" t="n">
        <v>22</v>
      </c>
    </row>
    <row r="13" customFormat="false" ht="23.85" hidden="false" customHeight="false" outlineLevel="0" collapsed="false">
      <c r="A13" s="10" t="n">
        <v>12</v>
      </c>
      <c r="B13" s="10" t="s">
        <v>83</v>
      </c>
      <c r="C13" s="21" t="n">
        <v>46142</v>
      </c>
      <c r="D13" s="10" t="s">
        <v>186</v>
      </c>
      <c r="E13" s="10" t="s">
        <v>112</v>
      </c>
      <c r="F13" s="10" t="s">
        <v>187</v>
      </c>
      <c r="G13" s="10" t="s">
        <v>188</v>
      </c>
      <c r="H13" s="10" t="s">
        <v>189</v>
      </c>
      <c r="I13" s="9" t="n">
        <v>7000</v>
      </c>
      <c r="J13" s="9" t="n">
        <v>7994.31</v>
      </c>
      <c r="K13" s="10" t="s">
        <v>97</v>
      </c>
      <c r="L13" s="10" t="s">
        <v>102</v>
      </c>
      <c r="M13" s="16" t="str">
        <f aca="false">IFERROR(VLOOKUP(N13,Словарь!$A$2:$B$15,2,FALSE()),"Нужно решение")</f>
        <v>Принято с актом</v>
      </c>
      <c r="N13" s="10" t="s">
        <v>138</v>
      </c>
      <c r="O13" s="10" t="s">
        <v>155</v>
      </c>
      <c r="P13" s="22" t="str">
        <f aca="true">IF(AND(OR(M13="Не начато",M13="В работе",M13="Нужно решение"),C13&lt;TODAY()),TODAY()-C13,"")</f>
        <v/>
      </c>
      <c r="Q13" s="10" t="s">
        <v>143</v>
      </c>
      <c r="R13" s="10" t="s">
        <v>185</v>
      </c>
      <c r="S13" s="10"/>
      <c r="T13" s="10" t="s">
        <v>145</v>
      </c>
      <c r="U13" s="10" t="n">
        <v>23</v>
      </c>
    </row>
    <row r="14" customFormat="false" ht="23.85" hidden="false" customHeight="false" outlineLevel="0" collapsed="false">
      <c r="A14" s="10" t="n">
        <v>13</v>
      </c>
      <c r="B14" s="10" t="s">
        <v>83</v>
      </c>
      <c r="C14" s="21" t="n">
        <v>46142</v>
      </c>
      <c r="D14" s="10" t="s">
        <v>190</v>
      </c>
      <c r="E14" s="10" t="s">
        <v>112</v>
      </c>
      <c r="F14" s="10" t="s">
        <v>191</v>
      </c>
      <c r="G14" s="10" t="s">
        <v>192</v>
      </c>
      <c r="H14" s="10" t="s">
        <v>193</v>
      </c>
      <c r="I14" s="9" t="n">
        <v>45000</v>
      </c>
      <c r="J14" s="9" t="n">
        <v>89320</v>
      </c>
      <c r="K14" s="10" t="s">
        <v>97</v>
      </c>
      <c r="L14" s="10" t="s">
        <v>100</v>
      </c>
      <c r="M14" s="16" t="str">
        <f aca="false">IFERROR(VLOOKUP(N14,Словарь!$A$2:$B$15,2,FALSE()),"Нужно решение")</f>
        <v>Принято с актом</v>
      </c>
      <c r="N14" s="10" t="s">
        <v>138</v>
      </c>
      <c r="O14" s="10" t="s">
        <v>155</v>
      </c>
      <c r="P14" s="22" t="str">
        <f aca="true">IF(AND(OR(M14="Не начато",M14="В работе",M14="Нужно решение"),C14&lt;TODAY()),TODAY()-C14,"")</f>
        <v/>
      </c>
      <c r="Q14" s="10" t="s">
        <v>143</v>
      </c>
      <c r="R14" s="10" t="s">
        <v>185</v>
      </c>
      <c r="S14" s="10"/>
      <c r="T14" s="10" t="s">
        <v>145</v>
      </c>
      <c r="U14" s="10" t="n">
        <v>24</v>
      </c>
    </row>
    <row r="15" customFormat="false" ht="23.85" hidden="false" customHeight="false" outlineLevel="0" collapsed="false">
      <c r="A15" s="10" t="n">
        <v>14</v>
      </c>
      <c r="B15" s="10" t="s">
        <v>83</v>
      </c>
      <c r="C15" s="21" t="n">
        <v>46142</v>
      </c>
      <c r="D15" s="10" t="s">
        <v>190</v>
      </c>
      <c r="E15" s="10" t="s">
        <v>112</v>
      </c>
      <c r="F15" s="10" t="s">
        <v>194</v>
      </c>
      <c r="G15" s="10" t="s">
        <v>142</v>
      </c>
      <c r="H15" s="10" t="s">
        <v>195</v>
      </c>
      <c r="I15" s="9" t="n">
        <v>7500</v>
      </c>
      <c r="J15" s="9" t="n">
        <v>29806.52</v>
      </c>
      <c r="K15" s="10" t="s">
        <v>97</v>
      </c>
      <c r="L15" s="10" t="s">
        <v>100</v>
      </c>
      <c r="M15" s="16" t="str">
        <f aca="false">IFERROR(VLOOKUP(N15,Словарь!$A$2:$B$15,2,FALSE()),"Нужно решение")</f>
        <v>Принято с актом</v>
      </c>
      <c r="N15" s="10" t="s">
        <v>138</v>
      </c>
      <c r="O15" s="10" t="s">
        <v>155</v>
      </c>
      <c r="P15" s="22" t="str">
        <f aca="true">IF(AND(OR(M15="Не начато",M15="В работе",M15="Нужно решение"),C15&lt;TODAY()),TODAY()-C15,"")</f>
        <v/>
      </c>
      <c r="Q15" s="10" t="s">
        <v>143</v>
      </c>
      <c r="R15" s="10" t="s">
        <v>185</v>
      </c>
      <c r="S15" s="10"/>
      <c r="T15" s="10" t="s">
        <v>145</v>
      </c>
      <c r="U15" s="10" t="n">
        <v>25</v>
      </c>
    </row>
    <row r="16" customFormat="false" ht="23.85" hidden="false" customHeight="false" outlineLevel="0" collapsed="false">
      <c r="A16" s="10" t="n">
        <v>15</v>
      </c>
      <c r="B16" s="10" t="s">
        <v>83</v>
      </c>
      <c r="C16" s="21" t="n">
        <v>46142</v>
      </c>
      <c r="D16" s="10" t="s">
        <v>196</v>
      </c>
      <c r="E16" s="10" t="s">
        <v>112</v>
      </c>
      <c r="F16" s="10" t="s">
        <v>197</v>
      </c>
      <c r="G16" s="10" t="s">
        <v>142</v>
      </c>
      <c r="H16" s="10" t="s">
        <v>198</v>
      </c>
      <c r="I16" s="9" t="n">
        <v>22500</v>
      </c>
      <c r="J16" s="9"/>
      <c r="K16" s="10" t="s">
        <v>95</v>
      </c>
      <c r="L16" s="10" t="s">
        <v>101</v>
      </c>
      <c r="M16" s="16" t="str">
        <f aca="false">IFERROR(VLOOKUP(N16,Словарь!$A$2:$B$15,2,FALSE()),"Нужно решение")</f>
        <v>Выполнено, ждёт акта</v>
      </c>
      <c r="N16" s="10" t="s">
        <v>150</v>
      </c>
      <c r="O16" s="10" t="s">
        <v>151</v>
      </c>
      <c r="P16" s="22" t="str">
        <f aca="true">IF(AND(OR(M16="Не начато",M16="В работе",M16="Нужно решение"),C16&lt;TODAY()),TODAY()-C16,"")</f>
        <v/>
      </c>
      <c r="Q16" s="10" t="s">
        <v>143</v>
      </c>
      <c r="R16" s="10" t="s">
        <v>185</v>
      </c>
      <c r="S16" s="10"/>
      <c r="T16" s="10" t="s">
        <v>152</v>
      </c>
      <c r="U16" s="10" t="n">
        <v>26</v>
      </c>
    </row>
    <row r="17" customFormat="false" ht="23.85" hidden="false" customHeight="false" outlineLevel="0" collapsed="false">
      <c r="A17" s="10" t="n">
        <v>16</v>
      </c>
      <c r="B17" s="10" t="s">
        <v>83</v>
      </c>
      <c r="C17" s="21" t="n">
        <v>46142</v>
      </c>
      <c r="D17" s="10" t="s">
        <v>156</v>
      </c>
      <c r="E17" s="10" t="s">
        <v>112</v>
      </c>
      <c r="F17" s="10" t="s">
        <v>199</v>
      </c>
      <c r="G17" s="10" t="s">
        <v>188</v>
      </c>
      <c r="H17" s="10" t="s">
        <v>200</v>
      </c>
      <c r="I17" s="9" t="n">
        <v>70000</v>
      </c>
      <c r="J17" s="9"/>
      <c r="K17" s="10" t="s">
        <v>96</v>
      </c>
      <c r="L17" s="10" t="s">
        <v>105</v>
      </c>
      <c r="M17" s="16" t="str">
        <f aca="false">IFERROR(VLOOKUP(N17,Словарь!$A$2:$B$15,2,FALSE()),"Нужно решение")</f>
        <v>Выполнено, ждёт акта</v>
      </c>
      <c r="N17" s="10" t="s">
        <v>150</v>
      </c>
      <c r="O17" s="10" t="s">
        <v>171</v>
      </c>
      <c r="P17" s="22" t="str">
        <f aca="true">IF(AND(OR(M17="Не начато",M17="В работе",M17="Нужно решение"),C17&lt;TODAY()),TODAY()-C17,"")</f>
        <v/>
      </c>
      <c r="Q17" s="10" t="s">
        <v>143</v>
      </c>
      <c r="R17" s="10" t="s">
        <v>185</v>
      </c>
      <c r="S17" s="10"/>
      <c r="T17" s="10" t="s">
        <v>152</v>
      </c>
      <c r="U17" s="10" t="n">
        <v>27</v>
      </c>
    </row>
    <row r="18" customFormat="false" ht="35.05" hidden="false" customHeight="false" outlineLevel="0" collapsed="false">
      <c r="A18" s="10" t="n">
        <v>17</v>
      </c>
      <c r="B18" s="10" t="s">
        <v>83</v>
      </c>
      <c r="C18" s="21" t="n">
        <v>46142</v>
      </c>
      <c r="D18" s="10" t="s">
        <v>201</v>
      </c>
      <c r="E18" s="10" t="s">
        <v>112</v>
      </c>
      <c r="F18" s="10" t="s">
        <v>202</v>
      </c>
      <c r="G18" s="10" t="s">
        <v>142</v>
      </c>
      <c r="H18" s="10" t="s">
        <v>203</v>
      </c>
      <c r="I18" s="9" t="n">
        <v>1000</v>
      </c>
      <c r="J18" s="9"/>
      <c r="K18" s="10" t="s">
        <v>96</v>
      </c>
      <c r="L18" s="10" t="s">
        <v>106</v>
      </c>
      <c r="M18" s="16" t="str">
        <f aca="false">IFERROR(VLOOKUP(N18,Словарь!$A$2:$B$15,2,FALSE()),"Нужно решение")</f>
        <v>Выполнено, ждёт акта</v>
      </c>
      <c r="N18" s="10" t="s">
        <v>150</v>
      </c>
      <c r="O18" s="10" t="s">
        <v>171</v>
      </c>
      <c r="P18" s="22" t="str">
        <f aca="true">IF(AND(OR(M18="Не начато",M18="В работе",M18="Нужно решение"),C18&lt;TODAY()),TODAY()-C18,"")</f>
        <v/>
      </c>
      <c r="Q18" s="10" t="s">
        <v>143</v>
      </c>
      <c r="R18" s="10" t="s">
        <v>185</v>
      </c>
      <c r="S18" s="10"/>
      <c r="T18" s="10" t="s">
        <v>152</v>
      </c>
      <c r="U18" s="10" t="n">
        <v>28</v>
      </c>
    </row>
    <row r="19" customFormat="false" ht="23.85" hidden="false" customHeight="false" outlineLevel="0" collapsed="false">
      <c r="A19" s="10" t="n">
        <v>18</v>
      </c>
      <c r="B19" s="10" t="s">
        <v>83</v>
      </c>
      <c r="C19" s="21" t="n">
        <v>46142</v>
      </c>
      <c r="D19" s="10" t="s">
        <v>201</v>
      </c>
      <c r="E19" s="10" t="s">
        <v>112</v>
      </c>
      <c r="F19" s="10" t="s">
        <v>204</v>
      </c>
      <c r="G19" s="10" t="s">
        <v>158</v>
      </c>
      <c r="H19" s="10" t="s">
        <v>205</v>
      </c>
      <c r="I19" s="9" t="n">
        <v>5000</v>
      </c>
      <c r="J19" s="9" t="n">
        <v>3303.85</v>
      </c>
      <c r="K19" s="10" t="s">
        <v>97</v>
      </c>
      <c r="L19" s="10" t="s">
        <v>100</v>
      </c>
      <c r="M19" s="16" t="str">
        <f aca="false">IFERROR(VLOOKUP(N19,Словарь!$A$2:$B$15,2,FALSE()),"Нужно решение")</f>
        <v>Принято с актом</v>
      </c>
      <c r="N19" s="10" t="s">
        <v>138</v>
      </c>
      <c r="O19" s="10" t="s">
        <v>155</v>
      </c>
      <c r="P19" s="22" t="str">
        <f aca="true">IF(AND(OR(M19="Не начато",M19="В работе",M19="Нужно решение"),C19&lt;TODAY()),TODAY()-C19,"")</f>
        <v/>
      </c>
      <c r="Q19" s="10" t="s">
        <v>143</v>
      </c>
      <c r="R19" s="10" t="s">
        <v>206</v>
      </c>
      <c r="S19" s="10"/>
      <c r="T19" s="10" t="s">
        <v>207</v>
      </c>
      <c r="U19" s="10" t="n">
        <v>29</v>
      </c>
    </row>
    <row r="20" customFormat="false" ht="23.85" hidden="false" customHeight="false" outlineLevel="0" collapsed="false">
      <c r="A20" s="10" t="n">
        <v>19</v>
      </c>
      <c r="B20" s="10" t="s">
        <v>83</v>
      </c>
      <c r="C20" s="21" t="n">
        <v>46142</v>
      </c>
      <c r="D20" s="10" t="s">
        <v>208</v>
      </c>
      <c r="E20" s="10" t="s">
        <v>112</v>
      </c>
      <c r="F20" s="10" t="s">
        <v>209</v>
      </c>
      <c r="G20" s="10" t="s">
        <v>174</v>
      </c>
      <c r="H20" s="10" t="s">
        <v>210</v>
      </c>
      <c r="I20" s="9" t="n">
        <v>60000</v>
      </c>
      <c r="J20" s="9" t="n">
        <v>51000</v>
      </c>
      <c r="K20" s="10" t="s">
        <v>97</v>
      </c>
      <c r="L20" s="10" t="s">
        <v>100</v>
      </c>
      <c r="M20" s="16" t="str">
        <f aca="false">IFERROR(VLOOKUP(N20,Словарь!$A$2:$B$15,2,FALSE()),"Нужно решение")</f>
        <v>Принято с актом</v>
      </c>
      <c r="N20" s="10" t="s">
        <v>138</v>
      </c>
      <c r="O20" s="10" t="s">
        <v>155</v>
      </c>
      <c r="P20" s="22" t="str">
        <f aca="true">IF(AND(OR(M20="Не начато",M20="В работе",M20="Нужно решение"),C20&lt;TODAY()),TODAY()-C20,"")</f>
        <v/>
      </c>
      <c r="Q20" s="10" t="s">
        <v>143</v>
      </c>
      <c r="R20" s="10" t="s">
        <v>185</v>
      </c>
      <c r="S20" s="10"/>
      <c r="T20" s="10" t="s">
        <v>145</v>
      </c>
      <c r="U20" s="10" t="n">
        <v>30</v>
      </c>
    </row>
    <row r="21" customFormat="false" ht="23.85" hidden="false" customHeight="false" outlineLevel="0" collapsed="false">
      <c r="A21" s="10" t="n">
        <v>20</v>
      </c>
      <c r="B21" s="10" t="s">
        <v>83</v>
      </c>
      <c r="C21" s="21" t="n">
        <v>46142</v>
      </c>
      <c r="D21" s="10" t="s">
        <v>211</v>
      </c>
      <c r="E21" s="10" t="s">
        <v>113</v>
      </c>
      <c r="F21" s="10" t="s">
        <v>212</v>
      </c>
      <c r="G21" s="10" t="s">
        <v>174</v>
      </c>
      <c r="H21" s="10" t="s">
        <v>213</v>
      </c>
      <c r="I21" s="9" t="n">
        <v>12000</v>
      </c>
      <c r="J21" s="9" t="n">
        <v>12000</v>
      </c>
      <c r="K21" s="10" t="s">
        <v>97</v>
      </c>
      <c r="L21" s="10" t="s">
        <v>101</v>
      </c>
      <c r="M21" s="16" t="str">
        <f aca="false">IFERROR(VLOOKUP(N21,Словарь!$A$2:$B$15,2,FALSE()),"Нужно решение")</f>
        <v>Принято с актом</v>
      </c>
      <c r="N21" s="10" t="s">
        <v>138</v>
      </c>
      <c r="O21" s="10" t="s">
        <v>155</v>
      </c>
      <c r="P21" s="22" t="str">
        <f aca="true">IF(AND(OR(M21="Не начато",M21="В работе",M21="Нужно решение"),C21&lt;TODAY()),TODAY()-C21,"")</f>
        <v/>
      </c>
      <c r="Q21" s="10" t="s">
        <v>143</v>
      </c>
      <c r="R21" s="10" t="s">
        <v>185</v>
      </c>
      <c r="S21" s="10"/>
      <c r="T21" s="10" t="s">
        <v>145</v>
      </c>
      <c r="U21" s="10" t="n">
        <v>31</v>
      </c>
    </row>
    <row r="22" customFormat="false" ht="23.85" hidden="false" customHeight="false" outlineLevel="0" collapsed="false">
      <c r="A22" s="10" t="n">
        <v>21</v>
      </c>
      <c r="B22" s="10" t="s">
        <v>84</v>
      </c>
      <c r="C22" s="21" t="n">
        <v>46173</v>
      </c>
      <c r="D22" s="10" t="s">
        <v>214</v>
      </c>
      <c r="E22" s="10" t="s">
        <v>112</v>
      </c>
      <c r="F22" s="10" t="s">
        <v>215</v>
      </c>
      <c r="G22" s="10" t="s">
        <v>142</v>
      </c>
      <c r="H22" s="10" t="s">
        <v>216</v>
      </c>
      <c r="I22" s="9"/>
      <c r="J22" s="9"/>
      <c r="K22" s="10" t="s">
        <v>96</v>
      </c>
      <c r="L22" s="10" t="s">
        <v>102</v>
      </c>
      <c r="M22" s="16" t="str">
        <f aca="false">IFERROR(VLOOKUP(N22,Словарь!$A$2:$B$15,2,FALSE()),"Нужно решение")</f>
        <v>Выполнено, ждёт акта</v>
      </c>
      <c r="N22" s="10" t="s">
        <v>150</v>
      </c>
      <c r="O22" s="10" t="s">
        <v>171</v>
      </c>
      <c r="P22" s="22" t="str">
        <f aca="true">IF(AND(OR(M22="Не начато",M22="В работе",M22="Нужно решение"),C22&lt;TODAY()),TODAY()-C22,"")</f>
        <v/>
      </c>
      <c r="Q22" s="10" t="s">
        <v>143</v>
      </c>
      <c r="R22" s="10" t="s">
        <v>217</v>
      </c>
      <c r="S22" s="10"/>
      <c r="T22" s="10" t="s">
        <v>152</v>
      </c>
      <c r="U22" s="10" t="n">
        <v>35</v>
      </c>
    </row>
    <row r="23" customFormat="false" ht="23.85" hidden="false" customHeight="false" outlineLevel="0" collapsed="false">
      <c r="A23" s="10" t="n">
        <v>22</v>
      </c>
      <c r="B23" s="10" t="s">
        <v>84</v>
      </c>
      <c r="C23" s="21" t="n">
        <v>46173</v>
      </c>
      <c r="D23" s="10" t="s">
        <v>134</v>
      </c>
      <c r="E23" s="10" t="s">
        <v>112</v>
      </c>
      <c r="F23" s="10" t="s">
        <v>218</v>
      </c>
      <c r="G23" s="10" t="s">
        <v>188</v>
      </c>
      <c r="H23" s="10" t="s">
        <v>219</v>
      </c>
      <c r="I23" s="9" t="n">
        <v>23433.94</v>
      </c>
      <c r="J23" s="9" t="n">
        <v>23433.94</v>
      </c>
      <c r="K23" s="10" t="s">
        <v>97</v>
      </c>
      <c r="L23" s="10" t="s">
        <v>102</v>
      </c>
      <c r="M23" s="16" t="str">
        <f aca="false">IFERROR(VLOOKUP(N23,Словарь!$A$2:$B$15,2,FALSE()),"Нужно решение")</f>
        <v>Принято с актом</v>
      </c>
      <c r="N23" s="10" t="s">
        <v>138</v>
      </c>
      <c r="O23" s="10" t="s">
        <v>155</v>
      </c>
      <c r="P23" s="22" t="str">
        <f aca="true">IF(AND(OR(M23="Не начато",M23="В работе",M23="Нужно решение"),C23&lt;TODAY()),TODAY()-C23,"")</f>
        <v/>
      </c>
      <c r="Q23" s="10" t="s">
        <v>143</v>
      </c>
      <c r="R23" s="10" t="s">
        <v>217</v>
      </c>
      <c r="S23" s="10"/>
      <c r="T23" s="10" t="s">
        <v>145</v>
      </c>
      <c r="U23" s="10" t="n">
        <v>34</v>
      </c>
    </row>
    <row r="24" customFormat="false" ht="23.85" hidden="false" customHeight="false" outlineLevel="0" collapsed="false">
      <c r="A24" s="10" t="n">
        <v>23</v>
      </c>
      <c r="B24" s="10" t="s">
        <v>84</v>
      </c>
      <c r="C24" s="21" t="n">
        <v>46173</v>
      </c>
      <c r="D24" s="10" t="s">
        <v>220</v>
      </c>
      <c r="E24" s="10" t="s">
        <v>112</v>
      </c>
      <c r="F24" s="10" t="s">
        <v>221</v>
      </c>
      <c r="G24" s="10" t="s">
        <v>192</v>
      </c>
      <c r="H24" s="10" t="s">
        <v>222</v>
      </c>
      <c r="I24" s="9" t="n">
        <v>367220</v>
      </c>
      <c r="J24" s="9" t="n">
        <v>367220</v>
      </c>
      <c r="K24" s="10" t="s">
        <v>97</v>
      </c>
      <c r="L24" s="10" t="s">
        <v>102</v>
      </c>
      <c r="M24" s="16" t="str">
        <f aca="false">IFERROR(VLOOKUP(N24,Словарь!$A$2:$B$15,2,FALSE()),"Нужно решение")</f>
        <v>Принято с актом</v>
      </c>
      <c r="N24" s="10" t="s">
        <v>138</v>
      </c>
      <c r="O24" s="10" t="s">
        <v>155</v>
      </c>
      <c r="P24" s="22" t="str">
        <f aca="true">IF(AND(OR(M24="Не начато",M24="В работе",M24="Нужно решение"),C24&lt;TODAY()),TODAY()-C24,"")</f>
        <v/>
      </c>
      <c r="Q24" s="10" t="s">
        <v>143</v>
      </c>
      <c r="R24" s="10" t="s">
        <v>217</v>
      </c>
      <c r="S24" s="10"/>
      <c r="T24" s="10" t="s">
        <v>145</v>
      </c>
      <c r="U24" s="10" t="n">
        <v>36</v>
      </c>
    </row>
    <row r="25" customFormat="false" ht="23.85" hidden="false" customHeight="false" outlineLevel="0" collapsed="false">
      <c r="A25" s="10" t="n">
        <v>24</v>
      </c>
      <c r="B25" s="10" t="s">
        <v>84</v>
      </c>
      <c r="C25" s="21" t="n">
        <v>46173</v>
      </c>
      <c r="D25" s="10" t="s">
        <v>186</v>
      </c>
      <c r="E25" s="10" t="s">
        <v>112</v>
      </c>
      <c r="F25" s="10" t="s">
        <v>223</v>
      </c>
      <c r="G25" s="10" t="s">
        <v>142</v>
      </c>
      <c r="H25" s="10" t="s">
        <v>224</v>
      </c>
      <c r="I25" s="9" t="n">
        <v>15000</v>
      </c>
      <c r="J25" s="9" t="n">
        <v>84188.94</v>
      </c>
      <c r="K25" s="10" t="s">
        <v>97</v>
      </c>
      <c r="L25" s="10" t="s">
        <v>102</v>
      </c>
      <c r="M25" s="16" t="str">
        <f aca="false">IFERROR(VLOOKUP(N25,Словарь!$A$2:$B$15,2,FALSE()),"Нужно решение")</f>
        <v>Принято с актом</v>
      </c>
      <c r="N25" s="10" t="s">
        <v>138</v>
      </c>
      <c r="O25" s="10" t="s">
        <v>155</v>
      </c>
      <c r="P25" s="22" t="str">
        <f aca="true">IF(AND(OR(M25="Не начато",M25="В работе",M25="Нужно решение"),C25&lt;TODAY()),TODAY()-C25,"")</f>
        <v/>
      </c>
      <c r="Q25" s="10" t="s">
        <v>143</v>
      </c>
      <c r="R25" s="10" t="s">
        <v>217</v>
      </c>
      <c r="S25" s="10"/>
      <c r="T25" s="10" t="s">
        <v>145</v>
      </c>
      <c r="U25" s="10" t="n">
        <v>37</v>
      </c>
    </row>
    <row r="26" customFormat="false" ht="23.85" hidden="false" customHeight="false" outlineLevel="0" collapsed="false">
      <c r="A26" s="10" t="n">
        <v>25</v>
      </c>
      <c r="B26" s="10" t="s">
        <v>84</v>
      </c>
      <c r="C26" s="21" t="n">
        <v>46173</v>
      </c>
      <c r="D26" s="10" t="s">
        <v>225</v>
      </c>
      <c r="E26" s="10" t="s">
        <v>112</v>
      </c>
      <c r="F26" s="10" t="s">
        <v>226</v>
      </c>
      <c r="G26" s="10" t="s">
        <v>183</v>
      </c>
      <c r="H26" s="10"/>
      <c r="I26" s="9" t="n">
        <v>470000</v>
      </c>
      <c r="J26" s="9" t="n">
        <v>470000</v>
      </c>
      <c r="K26" s="10" t="s">
        <v>97</v>
      </c>
      <c r="L26" s="10" t="s">
        <v>100</v>
      </c>
      <c r="M26" s="16" t="str">
        <f aca="false">IFERROR(VLOOKUP(N26,Словарь!$A$2:$B$15,2,FALSE()),"Нужно решение")</f>
        <v>Принято с актом</v>
      </c>
      <c r="N26" s="10" t="s">
        <v>138</v>
      </c>
      <c r="O26" s="10" t="s">
        <v>155</v>
      </c>
      <c r="P26" s="22" t="str">
        <f aca="true">IF(AND(OR(M26="Не начато",M26="В работе",M26="Нужно решение"),C26&lt;TODAY()),TODAY()-C26,"")</f>
        <v/>
      </c>
      <c r="Q26" s="10" t="s">
        <v>143</v>
      </c>
      <c r="R26" s="10" t="s">
        <v>217</v>
      </c>
      <c r="S26" s="10"/>
      <c r="T26" s="10" t="s">
        <v>145</v>
      </c>
      <c r="U26" s="10" t="n">
        <v>38</v>
      </c>
    </row>
    <row r="27" customFormat="false" ht="23.85" hidden="false" customHeight="false" outlineLevel="0" collapsed="false">
      <c r="A27" s="10" t="n">
        <v>26</v>
      </c>
      <c r="B27" s="10" t="s">
        <v>84</v>
      </c>
      <c r="C27" s="21" t="n">
        <v>46173</v>
      </c>
      <c r="D27" s="10" t="s">
        <v>227</v>
      </c>
      <c r="E27" s="10" t="s">
        <v>112</v>
      </c>
      <c r="F27" s="10" t="s">
        <v>228</v>
      </c>
      <c r="G27" s="10" t="s">
        <v>158</v>
      </c>
      <c r="H27" s="10"/>
      <c r="I27" s="9" t="n">
        <v>105000</v>
      </c>
      <c r="J27" s="9"/>
      <c r="K27" s="10" t="s">
        <v>95</v>
      </c>
      <c r="L27" s="10" t="s">
        <v>104</v>
      </c>
      <c r="M27" s="16" t="str">
        <f aca="false">IFERROR(VLOOKUP(N27,Словарь!$A$2:$B$15,2,FALSE()),"Нужно решение")</f>
        <v>Выполнено, ждёт акта</v>
      </c>
      <c r="N27" s="10" t="s">
        <v>150</v>
      </c>
      <c r="O27" s="10" t="s">
        <v>151</v>
      </c>
      <c r="P27" s="22" t="str">
        <f aca="true">IF(AND(OR(M27="Не начато",M27="В работе",M27="Нужно решение"),C27&lt;TODAY()),TODAY()-C27,"")</f>
        <v/>
      </c>
      <c r="Q27" s="10" t="s">
        <v>143</v>
      </c>
      <c r="R27" s="10" t="s">
        <v>217</v>
      </c>
      <c r="S27" s="10"/>
      <c r="T27" s="10" t="s">
        <v>152</v>
      </c>
      <c r="U27" s="10" t="n">
        <v>39</v>
      </c>
    </row>
    <row r="28" customFormat="false" ht="23.85" hidden="false" customHeight="false" outlineLevel="0" collapsed="false">
      <c r="A28" s="10" t="n">
        <v>27</v>
      </c>
      <c r="B28" s="10" t="s">
        <v>84</v>
      </c>
      <c r="C28" s="21" t="n">
        <v>46173</v>
      </c>
      <c r="D28" s="10" t="s">
        <v>229</v>
      </c>
      <c r="E28" s="10" t="s">
        <v>112</v>
      </c>
      <c r="F28" s="10" t="s">
        <v>230</v>
      </c>
      <c r="G28" s="10" t="s">
        <v>188</v>
      </c>
      <c r="H28" s="10" t="s">
        <v>231</v>
      </c>
      <c r="I28" s="9" t="n">
        <v>50000</v>
      </c>
      <c r="J28" s="9" t="n">
        <v>37105.7</v>
      </c>
      <c r="K28" s="10" t="s">
        <v>97</v>
      </c>
      <c r="L28" s="10" t="s">
        <v>100</v>
      </c>
      <c r="M28" s="16" t="str">
        <f aca="false">IFERROR(VLOOKUP(N28,Словарь!$A$2:$B$15,2,FALSE()),"Нужно решение")</f>
        <v>Принято с актом</v>
      </c>
      <c r="N28" s="10" t="s">
        <v>138</v>
      </c>
      <c r="O28" s="10" t="s">
        <v>155</v>
      </c>
      <c r="P28" s="22" t="str">
        <f aca="true">IF(AND(OR(M28="Не начато",M28="В работе",M28="Нужно решение"),C28&lt;TODAY()),TODAY()-C28,"")</f>
        <v/>
      </c>
      <c r="Q28" s="10" t="s">
        <v>143</v>
      </c>
      <c r="R28" s="10" t="s">
        <v>159</v>
      </c>
      <c r="S28" s="10"/>
      <c r="T28" s="10" t="s">
        <v>145</v>
      </c>
      <c r="U28" s="10" t="n">
        <v>40</v>
      </c>
    </row>
    <row r="29" customFormat="false" ht="23.85" hidden="false" customHeight="false" outlineLevel="0" collapsed="false">
      <c r="A29" s="10" t="n">
        <v>28</v>
      </c>
      <c r="B29" s="10" t="s">
        <v>84</v>
      </c>
      <c r="C29" s="21" t="n">
        <v>46173</v>
      </c>
      <c r="D29" s="10" t="s">
        <v>232</v>
      </c>
      <c r="E29" s="10" t="s">
        <v>112</v>
      </c>
      <c r="F29" s="10" t="s">
        <v>233</v>
      </c>
      <c r="G29" s="10" t="s">
        <v>188</v>
      </c>
      <c r="H29" s="10" t="s">
        <v>234</v>
      </c>
      <c r="I29" s="9" t="n">
        <v>60000</v>
      </c>
      <c r="J29" s="9" t="n">
        <v>46000</v>
      </c>
      <c r="K29" s="10" t="s">
        <v>97</v>
      </c>
      <c r="L29" s="10" t="s">
        <v>100</v>
      </c>
      <c r="M29" s="16" t="str">
        <f aca="false">IFERROR(VLOOKUP(N29,Словарь!$A$2:$B$15,2,FALSE()),"Нужно решение")</f>
        <v>Принято с актом</v>
      </c>
      <c r="N29" s="10" t="s">
        <v>138</v>
      </c>
      <c r="O29" s="10" t="s">
        <v>155</v>
      </c>
      <c r="P29" s="22" t="str">
        <f aca="true">IF(AND(OR(M29="Не начато",M29="В работе",M29="Нужно решение"),C29&lt;TODAY()),TODAY()-C29,"")</f>
        <v/>
      </c>
      <c r="Q29" s="10" t="s">
        <v>143</v>
      </c>
      <c r="R29" s="10" t="s">
        <v>217</v>
      </c>
      <c r="S29" s="10"/>
      <c r="T29" s="10" t="s">
        <v>145</v>
      </c>
      <c r="U29" s="10" t="n">
        <v>41</v>
      </c>
    </row>
    <row r="30" customFormat="false" ht="23.85" hidden="false" customHeight="false" outlineLevel="0" collapsed="false">
      <c r="A30" s="10" t="n">
        <v>29</v>
      </c>
      <c r="B30" s="10" t="s">
        <v>84</v>
      </c>
      <c r="C30" s="21" t="n">
        <v>46173</v>
      </c>
      <c r="D30" s="10" t="s">
        <v>235</v>
      </c>
      <c r="E30" s="10" t="s">
        <v>112</v>
      </c>
      <c r="F30" s="10" t="s">
        <v>236</v>
      </c>
      <c r="G30" s="10" t="s">
        <v>188</v>
      </c>
      <c r="H30" s="10" t="s">
        <v>237</v>
      </c>
      <c r="I30" s="9" t="n">
        <v>150000</v>
      </c>
      <c r="J30" s="9"/>
      <c r="K30" s="10" t="s">
        <v>96</v>
      </c>
      <c r="L30" s="10" t="s">
        <v>101</v>
      </c>
      <c r="M30" s="16" t="str">
        <f aca="false">IFERROR(VLOOKUP(N30,Словарь!$A$2:$B$15,2,FALSE()),"Нужно решение")</f>
        <v>Выполнено, ждёт акта</v>
      </c>
      <c r="N30" s="10" t="s">
        <v>150</v>
      </c>
      <c r="O30" s="10" t="s">
        <v>151</v>
      </c>
      <c r="P30" s="22" t="str">
        <f aca="true">IF(AND(OR(M30="Не начато",M30="В работе",M30="Нужно решение"),C30&lt;TODAY()),TODAY()-C30,"")</f>
        <v/>
      </c>
      <c r="Q30" s="10" t="s">
        <v>238</v>
      </c>
      <c r="R30" s="10" t="s">
        <v>217</v>
      </c>
      <c r="S30" s="10"/>
      <c r="T30" s="10" t="s">
        <v>239</v>
      </c>
      <c r="U30" s="10" t="n">
        <v>42</v>
      </c>
    </row>
    <row r="31" customFormat="false" ht="35.05" hidden="false" customHeight="false" outlineLevel="0" collapsed="false">
      <c r="A31" s="10" t="n">
        <v>30</v>
      </c>
      <c r="B31" s="10" t="s">
        <v>84</v>
      </c>
      <c r="C31" s="21" t="n">
        <v>46173</v>
      </c>
      <c r="D31" s="10" t="s">
        <v>240</v>
      </c>
      <c r="E31" s="10" t="s">
        <v>112</v>
      </c>
      <c r="F31" s="10" t="s">
        <v>241</v>
      </c>
      <c r="G31" s="10" t="s">
        <v>142</v>
      </c>
      <c r="H31" s="10" t="s">
        <v>242</v>
      </c>
      <c r="I31" s="9"/>
      <c r="J31" s="9"/>
      <c r="K31" s="10" t="s">
        <v>97</v>
      </c>
      <c r="L31" s="10" t="s">
        <v>103</v>
      </c>
      <c r="M31" s="16" t="str">
        <f aca="false">IFERROR(VLOOKUP(N31,Словарь!$A$2:$B$15,2,FALSE()),"Нужно решение")</f>
        <v>Принято с актом</v>
      </c>
      <c r="N31" s="10" t="s">
        <v>138</v>
      </c>
      <c r="O31" s="10" t="s">
        <v>139</v>
      </c>
      <c r="P31" s="22" t="str">
        <f aca="true">IF(AND(OR(M31="Не начато",M31="В работе",M31="Нужно решение"),C31&lt;TODAY()),TODAY()-C31,"")</f>
        <v/>
      </c>
      <c r="Q31" s="10" t="s">
        <v>143</v>
      </c>
      <c r="R31" s="10" t="s">
        <v>217</v>
      </c>
      <c r="S31" s="10"/>
      <c r="T31" s="10" t="s">
        <v>243</v>
      </c>
      <c r="U31" s="10" t="n">
        <v>43</v>
      </c>
    </row>
    <row r="32" customFormat="false" ht="35.05" hidden="false" customHeight="false" outlineLevel="0" collapsed="false">
      <c r="A32" s="10" t="n">
        <v>31</v>
      </c>
      <c r="B32" s="10" t="s">
        <v>84</v>
      </c>
      <c r="C32" s="21" t="n">
        <v>46173</v>
      </c>
      <c r="D32" s="10" t="s">
        <v>240</v>
      </c>
      <c r="E32" s="10" t="s">
        <v>112</v>
      </c>
      <c r="F32" s="10" t="s">
        <v>244</v>
      </c>
      <c r="G32" s="10" t="s">
        <v>245</v>
      </c>
      <c r="H32" s="10" t="s">
        <v>242</v>
      </c>
      <c r="I32" s="9"/>
      <c r="J32" s="9"/>
      <c r="K32" s="10" t="s">
        <v>97</v>
      </c>
      <c r="L32" s="10" t="s">
        <v>103</v>
      </c>
      <c r="M32" s="16" t="str">
        <f aca="false">IFERROR(VLOOKUP(N32,Словарь!$A$2:$B$15,2,FALSE()),"Нужно решение")</f>
        <v>Принято с актом</v>
      </c>
      <c r="N32" s="10" t="s">
        <v>138</v>
      </c>
      <c r="O32" s="10" t="s">
        <v>139</v>
      </c>
      <c r="P32" s="22" t="str">
        <f aca="true">IF(AND(OR(M32="Не начато",M32="В работе",M32="Нужно решение"),C32&lt;TODAY()),TODAY()-C32,"")</f>
        <v/>
      </c>
      <c r="Q32" s="10" t="s">
        <v>143</v>
      </c>
      <c r="R32" s="10" t="s">
        <v>217</v>
      </c>
      <c r="S32" s="10"/>
      <c r="T32" s="10" t="s">
        <v>243</v>
      </c>
      <c r="U32" s="10" t="n">
        <v>44</v>
      </c>
    </row>
    <row r="33" customFormat="false" ht="23.85" hidden="false" customHeight="false" outlineLevel="0" collapsed="false">
      <c r="A33" s="10" t="n">
        <v>32</v>
      </c>
      <c r="B33" s="10" t="s">
        <v>84</v>
      </c>
      <c r="C33" s="21" t="n">
        <v>46173</v>
      </c>
      <c r="D33" s="10" t="s">
        <v>246</v>
      </c>
      <c r="E33" s="10" t="s">
        <v>112</v>
      </c>
      <c r="F33" s="10" t="s">
        <v>247</v>
      </c>
      <c r="G33" s="10" t="s">
        <v>188</v>
      </c>
      <c r="H33" s="10" t="s">
        <v>248</v>
      </c>
      <c r="I33" s="9" t="n">
        <v>40000</v>
      </c>
      <c r="J33" s="9" t="n">
        <v>79331.36</v>
      </c>
      <c r="K33" s="10" t="s">
        <v>97</v>
      </c>
      <c r="L33" s="10" t="s">
        <v>100</v>
      </c>
      <c r="M33" s="16" t="str">
        <f aca="false">IFERROR(VLOOKUP(N33,Словарь!$A$2:$B$15,2,FALSE()),"Нужно решение")</f>
        <v>Принято с актом</v>
      </c>
      <c r="N33" s="10" t="s">
        <v>138</v>
      </c>
      <c r="O33" s="10" t="s">
        <v>155</v>
      </c>
      <c r="P33" s="22" t="str">
        <f aca="true">IF(AND(OR(M33="Не начато",M33="В работе",M33="Нужно решение"),C33&lt;TODAY()),TODAY()-C33,"")</f>
        <v/>
      </c>
      <c r="Q33" s="10" t="s">
        <v>143</v>
      </c>
      <c r="R33" s="10" t="s">
        <v>217</v>
      </c>
      <c r="S33" s="10"/>
      <c r="T33" s="10" t="s">
        <v>145</v>
      </c>
      <c r="U33" s="10" t="n">
        <v>45</v>
      </c>
    </row>
    <row r="34" customFormat="false" ht="35.05" hidden="false" customHeight="false" outlineLevel="0" collapsed="false">
      <c r="A34" s="10" t="n">
        <v>33</v>
      </c>
      <c r="B34" s="10" t="s">
        <v>84</v>
      </c>
      <c r="C34" s="21" t="n">
        <v>46173</v>
      </c>
      <c r="D34" s="10" t="s">
        <v>246</v>
      </c>
      <c r="E34" s="10" t="s">
        <v>112</v>
      </c>
      <c r="F34" s="10" t="s">
        <v>249</v>
      </c>
      <c r="G34" s="10" t="s">
        <v>142</v>
      </c>
      <c r="H34" s="10" t="s">
        <v>250</v>
      </c>
      <c r="I34" s="9"/>
      <c r="J34" s="9"/>
      <c r="K34" s="10" t="s">
        <v>97</v>
      </c>
      <c r="L34" s="10" t="s">
        <v>100</v>
      </c>
      <c r="M34" s="16" t="str">
        <f aca="false">IFERROR(VLOOKUP(N34,Словарь!$A$2:$B$15,2,FALSE()),"Нужно решение")</f>
        <v>Принято с актом</v>
      </c>
      <c r="N34" s="10" t="s">
        <v>138</v>
      </c>
      <c r="O34" s="10" t="s">
        <v>139</v>
      </c>
      <c r="P34" s="22" t="str">
        <f aca="true">IF(AND(OR(M34="Не начато",M34="В работе",M34="Нужно решение"),C34&lt;TODAY()),TODAY()-C34,"")</f>
        <v/>
      </c>
      <c r="Q34" s="10" t="s">
        <v>143</v>
      </c>
      <c r="R34" s="10" t="s">
        <v>217</v>
      </c>
      <c r="S34" s="10"/>
      <c r="T34" s="10" t="s">
        <v>243</v>
      </c>
      <c r="U34" s="10" t="n">
        <v>46</v>
      </c>
    </row>
    <row r="35" customFormat="false" ht="35.05" hidden="false" customHeight="false" outlineLevel="0" collapsed="false">
      <c r="A35" s="10" t="n">
        <v>34</v>
      </c>
      <c r="B35" s="10" t="s">
        <v>84</v>
      </c>
      <c r="C35" s="21" t="n">
        <v>46173</v>
      </c>
      <c r="D35" s="10" t="s">
        <v>246</v>
      </c>
      <c r="E35" s="10" t="s">
        <v>112</v>
      </c>
      <c r="F35" s="10" t="s">
        <v>251</v>
      </c>
      <c r="G35" s="10" t="s">
        <v>142</v>
      </c>
      <c r="H35" s="10" t="s">
        <v>250</v>
      </c>
      <c r="I35" s="9"/>
      <c r="J35" s="9"/>
      <c r="K35" s="10" t="s">
        <v>97</v>
      </c>
      <c r="L35" s="10" t="s">
        <v>100</v>
      </c>
      <c r="M35" s="16" t="str">
        <f aca="false">IFERROR(VLOOKUP(N35,Словарь!$A$2:$B$15,2,FALSE()),"Нужно решение")</f>
        <v>Принято с актом</v>
      </c>
      <c r="N35" s="10" t="s">
        <v>138</v>
      </c>
      <c r="O35" s="10" t="s">
        <v>139</v>
      </c>
      <c r="P35" s="22" t="str">
        <f aca="true">IF(AND(OR(M35="Не начато",M35="В работе",M35="Нужно решение"),C35&lt;TODAY()),TODAY()-C35,"")</f>
        <v/>
      </c>
      <c r="Q35" s="10" t="s">
        <v>143</v>
      </c>
      <c r="R35" s="10" t="s">
        <v>217</v>
      </c>
      <c r="S35" s="10"/>
      <c r="T35" s="10" t="s">
        <v>243</v>
      </c>
      <c r="U35" s="10" t="n">
        <v>47</v>
      </c>
    </row>
    <row r="36" customFormat="false" ht="35.05" hidden="false" customHeight="false" outlineLevel="0" collapsed="false">
      <c r="A36" s="10" t="n">
        <v>35</v>
      </c>
      <c r="B36" s="10" t="s">
        <v>84</v>
      </c>
      <c r="C36" s="21" t="n">
        <v>46173</v>
      </c>
      <c r="D36" s="10" t="s">
        <v>252</v>
      </c>
      <c r="E36" s="10" t="s">
        <v>112</v>
      </c>
      <c r="F36" s="10" t="s">
        <v>253</v>
      </c>
      <c r="G36" s="10" t="s">
        <v>183</v>
      </c>
      <c r="H36" s="10" t="s">
        <v>254</v>
      </c>
      <c r="I36" s="9" t="n">
        <v>25000</v>
      </c>
      <c r="J36" s="9" t="n">
        <v>69400</v>
      </c>
      <c r="K36" s="10" t="s">
        <v>97</v>
      </c>
      <c r="L36" s="10" t="s">
        <v>101</v>
      </c>
      <c r="M36" s="16" t="str">
        <f aca="false">IFERROR(VLOOKUP(N36,Словарь!$A$2:$B$15,2,FALSE()),"Нужно решение")</f>
        <v>Принято с актом</v>
      </c>
      <c r="N36" s="10" t="s">
        <v>138</v>
      </c>
      <c r="O36" s="10" t="s">
        <v>155</v>
      </c>
      <c r="P36" s="22" t="str">
        <f aca="true">IF(AND(OR(M36="Не начато",M36="В работе",M36="Нужно решение"),C36&lt;TODAY()),TODAY()-C36,"")</f>
        <v/>
      </c>
      <c r="Q36" s="10" t="s">
        <v>143</v>
      </c>
      <c r="R36" s="10" t="s">
        <v>217</v>
      </c>
      <c r="S36" s="10"/>
      <c r="T36" s="10" t="s">
        <v>255</v>
      </c>
      <c r="U36" s="10" t="n">
        <v>48</v>
      </c>
    </row>
    <row r="37" customFormat="false" ht="23.85" hidden="false" customHeight="false" outlineLevel="0" collapsed="false">
      <c r="A37" s="10" t="n">
        <v>36</v>
      </c>
      <c r="B37" s="10" t="s">
        <v>84</v>
      </c>
      <c r="C37" s="21" t="n">
        <v>46173</v>
      </c>
      <c r="D37" s="10" t="s">
        <v>256</v>
      </c>
      <c r="E37" s="10" t="s">
        <v>112</v>
      </c>
      <c r="F37" s="10" t="s">
        <v>257</v>
      </c>
      <c r="G37" s="10" t="s">
        <v>142</v>
      </c>
      <c r="H37" s="10" t="s">
        <v>258</v>
      </c>
      <c r="I37" s="9" t="n">
        <v>10000</v>
      </c>
      <c r="J37" s="9"/>
      <c r="K37" s="10" t="s">
        <v>96</v>
      </c>
      <c r="L37" s="10" t="s">
        <v>108</v>
      </c>
      <c r="M37" s="16" t="str">
        <f aca="false">IFERROR(VLOOKUP(N37,Словарь!$A$2:$B$15,2,FALSE()),"Нужно решение")</f>
        <v>Выполнено, ждёт акта</v>
      </c>
      <c r="N37" s="10" t="s">
        <v>150</v>
      </c>
      <c r="O37" s="10" t="s">
        <v>151</v>
      </c>
      <c r="P37" s="22" t="str">
        <f aca="true">IF(AND(OR(M37="Не начато",M37="В работе",M37="Нужно решение"),C37&lt;TODAY()),TODAY()-C37,"")</f>
        <v/>
      </c>
      <c r="Q37" s="10" t="s">
        <v>143</v>
      </c>
      <c r="R37" s="10" t="s">
        <v>217</v>
      </c>
      <c r="S37" s="10"/>
      <c r="T37" s="10" t="s">
        <v>152</v>
      </c>
      <c r="U37" s="10" t="n">
        <v>49</v>
      </c>
    </row>
    <row r="38" customFormat="false" ht="23.85" hidden="false" customHeight="false" outlineLevel="0" collapsed="false">
      <c r="A38" s="10" t="n">
        <v>37</v>
      </c>
      <c r="B38" s="10" t="s">
        <v>84</v>
      </c>
      <c r="C38" s="21" t="n">
        <v>46173</v>
      </c>
      <c r="D38" s="10" t="s">
        <v>256</v>
      </c>
      <c r="E38" s="10" t="s">
        <v>112</v>
      </c>
      <c r="F38" s="10" t="s">
        <v>259</v>
      </c>
      <c r="G38" s="10" t="s">
        <v>245</v>
      </c>
      <c r="H38" s="10" t="s">
        <v>258</v>
      </c>
      <c r="I38" s="9" t="n">
        <v>20000</v>
      </c>
      <c r="J38" s="9"/>
      <c r="K38" s="10" t="s">
        <v>96</v>
      </c>
      <c r="L38" s="10" t="s">
        <v>108</v>
      </c>
      <c r="M38" s="16" t="str">
        <f aca="false">IFERROR(VLOOKUP(N38,Словарь!$A$2:$B$15,2,FALSE()),"Нужно решение")</f>
        <v>Выполнено, ждёт акта</v>
      </c>
      <c r="N38" s="10" t="s">
        <v>150</v>
      </c>
      <c r="O38" s="10" t="s">
        <v>151</v>
      </c>
      <c r="P38" s="22" t="str">
        <f aca="true">IF(AND(OR(M38="Не начато",M38="В работе",M38="Нужно решение"),C38&lt;TODAY()),TODAY()-C38,"")</f>
        <v/>
      </c>
      <c r="Q38" s="10" t="s">
        <v>143</v>
      </c>
      <c r="R38" s="10" t="s">
        <v>217</v>
      </c>
      <c r="S38" s="10"/>
      <c r="T38" s="10" t="s">
        <v>152</v>
      </c>
      <c r="U38" s="10" t="n">
        <v>50</v>
      </c>
    </row>
    <row r="39" customFormat="false" ht="23.85" hidden="false" customHeight="false" outlineLevel="0" collapsed="false">
      <c r="A39" s="10" t="n">
        <v>38</v>
      </c>
      <c r="B39" s="10" t="s">
        <v>84</v>
      </c>
      <c r="C39" s="21" t="n">
        <v>46173</v>
      </c>
      <c r="D39" s="10" t="s">
        <v>256</v>
      </c>
      <c r="E39" s="10" t="s">
        <v>112</v>
      </c>
      <c r="F39" s="10" t="s">
        <v>260</v>
      </c>
      <c r="G39" s="10" t="s">
        <v>158</v>
      </c>
      <c r="H39" s="10" t="s">
        <v>258</v>
      </c>
      <c r="I39" s="9" t="n">
        <v>210000</v>
      </c>
      <c r="J39" s="9"/>
      <c r="K39" s="10" t="s">
        <v>95</v>
      </c>
      <c r="L39" s="10" t="s">
        <v>100</v>
      </c>
      <c r="M39" s="16" t="str">
        <f aca="false">IFERROR(VLOOKUP(N39,Словарь!$A$2:$B$15,2,FALSE()),"Нужно решение")</f>
        <v>Выполнено, ждёт акта</v>
      </c>
      <c r="N39" s="10" t="s">
        <v>150</v>
      </c>
      <c r="O39" s="10"/>
      <c r="P39" s="22" t="str">
        <f aca="true">IF(AND(OR(M39="Не начато",M39="В работе",M39="Нужно решение"),C39&lt;TODAY()),TODAY()-C39,"")</f>
        <v/>
      </c>
      <c r="Q39" s="10" t="s">
        <v>143</v>
      </c>
      <c r="R39" s="10" t="s">
        <v>217</v>
      </c>
      <c r="S39" s="10"/>
      <c r="T39" s="10" t="s">
        <v>152</v>
      </c>
      <c r="U39" s="10" t="n">
        <v>51</v>
      </c>
    </row>
    <row r="40" customFormat="false" ht="23.85" hidden="false" customHeight="false" outlineLevel="0" collapsed="false">
      <c r="A40" s="10" t="n">
        <v>39</v>
      </c>
      <c r="B40" s="10" t="s">
        <v>84</v>
      </c>
      <c r="C40" s="21" t="n">
        <v>46173</v>
      </c>
      <c r="D40" s="10" t="s">
        <v>261</v>
      </c>
      <c r="E40" s="10" t="s">
        <v>112</v>
      </c>
      <c r="F40" s="10" t="s">
        <v>262</v>
      </c>
      <c r="G40" s="10" t="s">
        <v>188</v>
      </c>
      <c r="H40" s="10" t="s">
        <v>263</v>
      </c>
      <c r="I40" s="9" t="n">
        <v>15000</v>
      </c>
      <c r="J40" s="9"/>
      <c r="K40" s="10" t="s">
        <v>96</v>
      </c>
      <c r="L40" s="10" t="s">
        <v>107</v>
      </c>
      <c r="M40" s="16" t="str">
        <f aca="false">IFERROR(VLOOKUP(N40,Словарь!$A$2:$B$15,2,FALSE()),"Нужно решение")</f>
        <v>Выполнено, ждёт акта</v>
      </c>
      <c r="N40" s="10" t="s">
        <v>150</v>
      </c>
      <c r="O40" s="10" t="s">
        <v>171</v>
      </c>
      <c r="P40" s="22" t="str">
        <f aca="true">IF(AND(OR(M40="Не начато",M40="В работе",M40="Нужно решение"),C40&lt;TODAY()),TODAY()-C40,"")</f>
        <v/>
      </c>
      <c r="Q40" s="10" t="s">
        <v>143</v>
      </c>
      <c r="R40" s="10" t="s">
        <v>217</v>
      </c>
      <c r="S40" s="10"/>
      <c r="T40" s="10" t="s">
        <v>152</v>
      </c>
      <c r="U40" s="10" t="n">
        <v>52</v>
      </c>
    </row>
    <row r="41" customFormat="false" ht="23.85" hidden="false" customHeight="false" outlineLevel="0" collapsed="false">
      <c r="A41" s="10" t="n">
        <v>40</v>
      </c>
      <c r="B41" s="10" t="s">
        <v>84</v>
      </c>
      <c r="C41" s="21" t="n">
        <v>46173</v>
      </c>
      <c r="D41" s="10" t="s">
        <v>264</v>
      </c>
      <c r="E41" s="10" t="s">
        <v>113</v>
      </c>
      <c r="F41" s="10" t="s">
        <v>265</v>
      </c>
      <c r="G41" s="10" t="s">
        <v>192</v>
      </c>
      <c r="H41" s="10" t="s">
        <v>266</v>
      </c>
      <c r="I41" s="9" t="n">
        <v>10000</v>
      </c>
      <c r="J41" s="9"/>
      <c r="K41" s="10" t="s">
        <v>96</v>
      </c>
      <c r="L41" s="10" t="s">
        <v>108</v>
      </c>
      <c r="M41" s="16" t="str">
        <f aca="false">IFERROR(VLOOKUP(N41,Словарь!$A$2:$B$15,2,FALSE()),"Нужно решение")</f>
        <v>Выполнено, ждёт акта</v>
      </c>
      <c r="N41" s="10" t="s">
        <v>150</v>
      </c>
      <c r="O41" s="10" t="s">
        <v>151</v>
      </c>
      <c r="P41" s="22" t="str">
        <f aca="true">IF(AND(OR(M41="Не начато",M41="В работе",M41="Нужно решение"),C41&lt;TODAY()),TODAY()-C41,"")</f>
        <v/>
      </c>
      <c r="Q41" s="10" t="s">
        <v>143</v>
      </c>
      <c r="R41" s="10" t="s">
        <v>217</v>
      </c>
      <c r="S41" s="10"/>
      <c r="T41" s="10" t="s">
        <v>152</v>
      </c>
      <c r="U41" s="10" t="n">
        <v>53</v>
      </c>
    </row>
    <row r="42" customFormat="false" ht="23.85" hidden="false" customHeight="false" outlineLevel="0" collapsed="false">
      <c r="A42" s="10" t="n">
        <v>41</v>
      </c>
      <c r="B42" s="10" t="s">
        <v>85</v>
      </c>
      <c r="C42" s="21" t="n">
        <v>46203</v>
      </c>
      <c r="D42" s="10" t="s">
        <v>267</v>
      </c>
      <c r="E42" s="10" t="s">
        <v>112</v>
      </c>
      <c r="F42" s="10" t="s">
        <v>268</v>
      </c>
      <c r="G42" s="10" t="s">
        <v>174</v>
      </c>
      <c r="H42" s="10"/>
      <c r="I42" s="9" t="n">
        <v>75000</v>
      </c>
      <c r="J42" s="9" t="n">
        <v>135681.42</v>
      </c>
      <c r="K42" s="10" t="s">
        <v>97</v>
      </c>
      <c r="L42" s="10" t="s">
        <v>102</v>
      </c>
      <c r="M42" s="16" t="str">
        <f aca="false">IFERROR(VLOOKUP(N42,Словарь!$A$2:$B$15,2,FALSE()),"Нужно решение")</f>
        <v>Принято с актом</v>
      </c>
      <c r="N42" s="10" t="s">
        <v>138</v>
      </c>
      <c r="O42" s="10" t="s">
        <v>155</v>
      </c>
      <c r="P42" s="22" t="str">
        <f aca="true">IF(AND(OR(M42="Не начато",M42="В работе",M42="Нужно решение"),C42&lt;TODAY()),TODAY()-C42,"")</f>
        <v/>
      </c>
      <c r="Q42" s="10" t="s">
        <v>143</v>
      </c>
      <c r="R42" s="10" t="s">
        <v>269</v>
      </c>
      <c r="S42" s="10"/>
      <c r="T42" s="10" t="s">
        <v>145</v>
      </c>
      <c r="U42" s="10" t="n">
        <v>56</v>
      </c>
    </row>
    <row r="43" customFormat="false" ht="23.85" hidden="false" customHeight="false" outlineLevel="0" collapsed="false">
      <c r="A43" s="10" t="n">
        <v>42</v>
      </c>
      <c r="B43" s="10" t="s">
        <v>85</v>
      </c>
      <c r="C43" s="21" t="n">
        <v>46203</v>
      </c>
      <c r="D43" s="10" t="s">
        <v>267</v>
      </c>
      <c r="E43" s="10" t="s">
        <v>112</v>
      </c>
      <c r="F43" s="10" t="s">
        <v>270</v>
      </c>
      <c r="G43" s="10" t="s">
        <v>183</v>
      </c>
      <c r="H43" s="10"/>
      <c r="I43" s="9" t="n">
        <v>5000</v>
      </c>
      <c r="J43" s="9" t="n">
        <v>22253.14</v>
      </c>
      <c r="K43" s="10" t="s">
        <v>97</v>
      </c>
      <c r="L43" s="10" t="s">
        <v>102</v>
      </c>
      <c r="M43" s="16" t="str">
        <f aca="false">IFERROR(VLOOKUP(N43,Словарь!$A$2:$B$15,2,FALSE()),"Нужно решение")</f>
        <v>Принято с актом</v>
      </c>
      <c r="N43" s="10" t="s">
        <v>138</v>
      </c>
      <c r="O43" s="10" t="s">
        <v>155</v>
      </c>
      <c r="P43" s="22" t="str">
        <f aca="true">IF(AND(OR(M43="Не начато",M43="В работе",M43="Нужно решение"),C43&lt;TODAY()),TODAY()-C43,"")</f>
        <v/>
      </c>
      <c r="Q43" s="10" t="s">
        <v>143</v>
      </c>
      <c r="R43" s="10" t="s">
        <v>269</v>
      </c>
      <c r="S43" s="10"/>
      <c r="T43" s="10" t="s">
        <v>145</v>
      </c>
      <c r="U43" s="10" t="n">
        <v>57</v>
      </c>
    </row>
    <row r="44" customFormat="false" ht="23.85" hidden="false" customHeight="false" outlineLevel="0" collapsed="false">
      <c r="A44" s="10" t="n">
        <v>43</v>
      </c>
      <c r="B44" s="10" t="s">
        <v>85</v>
      </c>
      <c r="C44" s="21" t="n">
        <v>46203</v>
      </c>
      <c r="D44" s="10" t="s">
        <v>267</v>
      </c>
      <c r="E44" s="10" t="s">
        <v>112</v>
      </c>
      <c r="F44" s="10" t="s">
        <v>271</v>
      </c>
      <c r="G44" s="10" t="s">
        <v>174</v>
      </c>
      <c r="H44" s="10"/>
      <c r="I44" s="9" t="n">
        <v>300000</v>
      </c>
      <c r="J44" s="9" t="n">
        <v>11945.67</v>
      </c>
      <c r="K44" s="10" t="s">
        <v>97</v>
      </c>
      <c r="L44" s="10" t="s">
        <v>102</v>
      </c>
      <c r="M44" s="16" t="str">
        <f aca="false">IFERROR(VLOOKUP(N44,Словарь!$A$2:$B$15,2,FALSE()),"Нужно решение")</f>
        <v>Принято с актом</v>
      </c>
      <c r="N44" s="10" t="s">
        <v>138</v>
      </c>
      <c r="O44" s="10" t="s">
        <v>155</v>
      </c>
      <c r="P44" s="22" t="str">
        <f aca="true">IF(AND(OR(M44="Не начато",M44="В работе",M44="Нужно решение"),C44&lt;TODAY()),TODAY()-C44,"")</f>
        <v/>
      </c>
      <c r="Q44" s="10" t="s">
        <v>143</v>
      </c>
      <c r="R44" s="10" t="s">
        <v>269</v>
      </c>
      <c r="S44" s="10"/>
      <c r="T44" s="10" t="s">
        <v>145</v>
      </c>
      <c r="U44" s="10" t="n">
        <v>58</v>
      </c>
    </row>
    <row r="45" customFormat="false" ht="23.85" hidden="false" customHeight="false" outlineLevel="0" collapsed="false">
      <c r="A45" s="10" t="n">
        <v>44</v>
      </c>
      <c r="B45" s="10" t="s">
        <v>85</v>
      </c>
      <c r="C45" s="21" t="n">
        <v>46203</v>
      </c>
      <c r="D45" s="10" t="s">
        <v>220</v>
      </c>
      <c r="E45" s="10" t="s">
        <v>112</v>
      </c>
      <c r="F45" s="10" t="s">
        <v>272</v>
      </c>
      <c r="G45" s="10" t="s">
        <v>158</v>
      </c>
      <c r="H45" s="10" t="s">
        <v>273</v>
      </c>
      <c r="I45" s="9" t="n">
        <v>5000</v>
      </c>
      <c r="J45" s="9" t="n">
        <v>9283.31</v>
      </c>
      <c r="K45" s="10" t="s">
        <v>97</v>
      </c>
      <c r="L45" s="10" t="s">
        <v>102</v>
      </c>
      <c r="M45" s="16" t="str">
        <f aca="false">IFERROR(VLOOKUP(N45,Словарь!$A$2:$B$15,2,FALSE()),"Нужно решение")</f>
        <v>Принято с актом</v>
      </c>
      <c r="N45" s="10" t="s">
        <v>138</v>
      </c>
      <c r="O45" s="10" t="s">
        <v>139</v>
      </c>
      <c r="P45" s="22" t="str">
        <f aca="true">IF(AND(OR(M45="Не начато",M45="В работе",M45="Нужно решение"),C45&lt;TODAY()),TODAY()-C45,"")</f>
        <v/>
      </c>
      <c r="Q45" s="10" t="s">
        <v>143</v>
      </c>
      <c r="R45" s="10" t="s">
        <v>269</v>
      </c>
      <c r="S45" s="10"/>
      <c r="T45" s="10" t="s">
        <v>145</v>
      </c>
      <c r="U45" s="10" t="n">
        <v>59</v>
      </c>
    </row>
    <row r="46" customFormat="false" ht="23.85" hidden="false" customHeight="false" outlineLevel="0" collapsed="false">
      <c r="A46" s="10" t="n">
        <v>45</v>
      </c>
      <c r="B46" s="10" t="s">
        <v>85</v>
      </c>
      <c r="C46" s="21" t="n">
        <v>46203</v>
      </c>
      <c r="D46" s="10" t="s">
        <v>274</v>
      </c>
      <c r="E46" s="10" t="s">
        <v>112</v>
      </c>
      <c r="F46" s="10" t="s">
        <v>275</v>
      </c>
      <c r="G46" s="10" t="s">
        <v>183</v>
      </c>
      <c r="H46" s="10" t="s">
        <v>276</v>
      </c>
      <c r="I46" s="9" t="n">
        <v>238690.2</v>
      </c>
      <c r="J46" s="9" t="n">
        <v>238690.2</v>
      </c>
      <c r="K46" s="10" t="s">
        <v>97</v>
      </c>
      <c r="L46" s="10" t="s">
        <v>100</v>
      </c>
      <c r="M46" s="16" t="str">
        <f aca="false">IFERROR(VLOOKUP(N46,Словарь!$A$2:$B$15,2,FALSE()),"Нужно решение")</f>
        <v>Принято с актом</v>
      </c>
      <c r="N46" s="10" t="s">
        <v>138</v>
      </c>
      <c r="O46" s="10" t="s">
        <v>155</v>
      </c>
      <c r="P46" s="22" t="str">
        <f aca="true">IF(AND(OR(M46="Не начато",M46="В работе",M46="Нужно решение"),C46&lt;TODAY()),TODAY()-C46,"")</f>
        <v/>
      </c>
      <c r="Q46" s="10" t="s">
        <v>143</v>
      </c>
      <c r="R46" s="10" t="s">
        <v>277</v>
      </c>
      <c r="S46" s="10"/>
      <c r="T46" s="10" t="s">
        <v>278</v>
      </c>
      <c r="U46" s="10" t="n">
        <v>60</v>
      </c>
    </row>
    <row r="47" customFormat="false" ht="23.85" hidden="false" customHeight="false" outlineLevel="0" collapsed="false">
      <c r="A47" s="10" t="n">
        <v>46</v>
      </c>
      <c r="B47" s="10" t="s">
        <v>85</v>
      </c>
      <c r="C47" s="21" t="n">
        <v>46203</v>
      </c>
      <c r="D47" s="10" t="s">
        <v>279</v>
      </c>
      <c r="E47" s="10" t="s">
        <v>112</v>
      </c>
      <c r="F47" s="10" t="s">
        <v>280</v>
      </c>
      <c r="G47" s="10" t="s">
        <v>142</v>
      </c>
      <c r="H47" s="10" t="s">
        <v>281</v>
      </c>
      <c r="I47" s="9" t="n">
        <v>650000</v>
      </c>
      <c r="J47" s="9" t="n">
        <v>716424</v>
      </c>
      <c r="K47" s="10" t="s">
        <v>97</v>
      </c>
      <c r="L47" s="10" t="s">
        <v>100</v>
      </c>
      <c r="M47" s="16" t="str">
        <f aca="false">IFERROR(VLOOKUP(N47,Словарь!$A$2:$B$15,2,FALSE()),"Нужно решение")</f>
        <v>Принято с актом</v>
      </c>
      <c r="N47" s="10" t="s">
        <v>138</v>
      </c>
      <c r="O47" s="10" t="s">
        <v>155</v>
      </c>
      <c r="P47" s="22" t="str">
        <f aca="true">IF(AND(OR(M47="Не начато",M47="В работе",M47="Нужно решение"),C47&lt;TODAY()),TODAY()-C47,"")</f>
        <v/>
      </c>
      <c r="Q47" s="10" t="s">
        <v>143</v>
      </c>
      <c r="R47" s="10" t="s">
        <v>269</v>
      </c>
      <c r="S47" s="10"/>
      <c r="T47" s="10" t="s">
        <v>145</v>
      </c>
      <c r="U47" s="10" t="n">
        <v>61</v>
      </c>
    </row>
    <row r="48" customFormat="false" ht="23.85" hidden="false" customHeight="false" outlineLevel="0" collapsed="false">
      <c r="A48" s="10" t="n">
        <v>47</v>
      </c>
      <c r="B48" s="10" t="s">
        <v>85</v>
      </c>
      <c r="C48" s="21" t="n">
        <v>46203</v>
      </c>
      <c r="D48" s="10" t="s">
        <v>282</v>
      </c>
      <c r="E48" s="10" t="s">
        <v>112</v>
      </c>
      <c r="F48" s="10" t="s">
        <v>283</v>
      </c>
      <c r="G48" s="10" t="s">
        <v>188</v>
      </c>
      <c r="H48" s="10"/>
      <c r="I48" s="9" t="n">
        <v>50000</v>
      </c>
      <c r="J48" s="9"/>
      <c r="K48" s="10" t="s">
        <v>96</v>
      </c>
      <c r="L48" s="10" t="s">
        <v>105</v>
      </c>
      <c r="M48" s="16" t="str">
        <f aca="false">IFERROR(VLOOKUP(N48,Словарь!$A$2:$B$15,2,FALSE()),"Нужно решение")</f>
        <v>Выполнено, ждёт акта</v>
      </c>
      <c r="N48" s="10" t="s">
        <v>150</v>
      </c>
      <c r="O48" s="10" t="s">
        <v>171</v>
      </c>
      <c r="P48" s="22" t="str">
        <f aca="true">IF(AND(OR(M48="Не начато",M48="В работе",M48="Нужно решение"),C48&lt;TODAY()),TODAY()-C48,"")</f>
        <v/>
      </c>
      <c r="Q48" s="10" t="s">
        <v>143</v>
      </c>
      <c r="R48" s="10" t="s">
        <v>269</v>
      </c>
      <c r="S48" s="10"/>
      <c r="T48" s="10" t="s">
        <v>152</v>
      </c>
      <c r="U48" s="10" t="n">
        <v>62</v>
      </c>
    </row>
    <row r="49" customFormat="false" ht="23.85" hidden="false" customHeight="false" outlineLevel="0" collapsed="false">
      <c r="A49" s="10" t="n">
        <v>48</v>
      </c>
      <c r="B49" s="10" t="s">
        <v>85</v>
      </c>
      <c r="C49" s="21" t="n">
        <v>46203</v>
      </c>
      <c r="D49" s="10" t="s">
        <v>225</v>
      </c>
      <c r="E49" s="10" t="s">
        <v>112</v>
      </c>
      <c r="F49" s="10" t="s">
        <v>284</v>
      </c>
      <c r="G49" s="10" t="s">
        <v>188</v>
      </c>
      <c r="H49" s="10"/>
      <c r="I49" s="9" t="n">
        <v>80000</v>
      </c>
      <c r="J49" s="9"/>
      <c r="K49" s="10" t="s">
        <v>96</v>
      </c>
      <c r="L49" s="10" t="s">
        <v>108</v>
      </c>
      <c r="M49" s="16" t="str">
        <f aca="false">IFERROR(VLOOKUP(N49,Словарь!$A$2:$B$15,2,FALSE()),"Нужно решение")</f>
        <v>Выполнено, ждёт акта</v>
      </c>
      <c r="N49" s="10" t="s">
        <v>150</v>
      </c>
      <c r="O49" s="10" t="s">
        <v>151</v>
      </c>
      <c r="P49" s="22" t="str">
        <f aca="true">IF(AND(OR(M49="Не начато",M49="В работе",M49="Нужно решение"),C49&lt;TODAY()),TODAY()-C49,"")</f>
        <v/>
      </c>
      <c r="Q49" s="10" t="s">
        <v>143</v>
      </c>
      <c r="R49" s="10" t="s">
        <v>269</v>
      </c>
      <c r="S49" s="10"/>
      <c r="T49" s="10" t="s">
        <v>152</v>
      </c>
      <c r="U49" s="10" t="n">
        <v>63</v>
      </c>
    </row>
    <row r="50" customFormat="false" ht="23.85" hidden="false" customHeight="false" outlineLevel="0" collapsed="false">
      <c r="A50" s="10" t="n">
        <v>49</v>
      </c>
      <c r="B50" s="10" t="s">
        <v>85</v>
      </c>
      <c r="C50" s="21" t="n">
        <v>46203</v>
      </c>
      <c r="D50" s="10" t="s">
        <v>285</v>
      </c>
      <c r="E50" s="10" t="s">
        <v>112</v>
      </c>
      <c r="F50" s="10" t="s">
        <v>286</v>
      </c>
      <c r="G50" s="10" t="s">
        <v>188</v>
      </c>
      <c r="H50" s="10" t="s">
        <v>287</v>
      </c>
      <c r="I50" s="9"/>
      <c r="J50" s="9"/>
      <c r="K50" s="10" t="s">
        <v>96</v>
      </c>
      <c r="L50" s="10" t="s">
        <v>103</v>
      </c>
      <c r="M50" s="16" t="str">
        <f aca="false">IFERROR(VLOOKUP(N50,Словарь!$A$2:$B$15,2,FALSE()),"Нужно решение")</f>
        <v>Выполнено, ждёт акта</v>
      </c>
      <c r="N50" s="10" t="s">
        <v>150</v>
      </c>
      <c r="O50" s="10" t="s">
        <v>171</v>
      </c>
      <c r="P50" s="22" t="str">
        <f aca="true">IF(AND(OR(M50="Не начато",M50="В работе",M50="Нужно решение"),C50&lt;TODAY()),TODAY()-C50,"")</f>
        <v/>
      </c>
      <c r="Q50" s="10" t="s">
        <v>143</v>
      </c>
      <c r="R50" s="10" t="s">
        <v>269</v>
      </c>
      <c r="S50" s="10"/>
      <c r="T50" s="10" t="s">
        <v>152</v>
      </c>
      <c r="U50" s="10" t="n">
        <v>64</v>
      </c>
    </row>
    <row r="51" customFormat="false" ht="23.85" hidden="false" customHeight="false" outlineLevel="0" collapsed="false">
      <c r="A51" s="10" t="n">
        <v>50</v>
      </c>
      <c r="B51" s="10" t="s">
        <v>85</v>
      </c>
      <c r="C51" s="21" t="n">
        <v>46203</v>
      </c>
      <c r="D51" s="10" t="s">
        <v>285</v>
      </c>
      <c r="E51" s="10" t="s">
        <v>112</v>
      </c>
      <c r="F51" s="10" t="s">
        <v>288</v>
      </c>
      <c r="G51" s="10" t="s">
        <v>245</v>
      </c>
      <c r="H51" s="10" t="s">
        <v>289</v>
      </c>
      <c r="I51" s="9"/>
      <c r="J51" s="9"/>
      <c r="K51" s="10" t="s">
        <v>95</v>
      </c>
      <c r="L51" s="10" t="s">
        <v>103</v>
      </c>
      <c r="M51" s="16" t="str">
        <f aca="false">IFERROR(VLOOKUP(N51,Словарь!$A$2:$B$15,2,FALSE()),"Нужно решение")</f>
        <v>Выполнено, ждёт акта</v>
      </c>
      <c r="N51" s="10" t="s">
        <v>150</v>
      </c>
      <c r="O51" s="10" t="s">
        <v>151</v>
      </c>
      <c r="P51" s="22" t="str">
        <f aca="true">IF(AND(OR(M51="Не начато",M51="В работе",M51="Нужно решение"),C51&lt;TODAY()),TODAY()-C51,"")</f>
        <v/>
      </c>
      <c r="Q51" s="10" t="s">
        <v>143</v>
      </c>
      <c r="R51" s="10" t="s">
        <v>269</v>
      </c>
      <c r="S51" s="10"/>
      <c r="T51" s="10" t="s">
        <v>152</v>
      </c>
      <c r="U51" s="10" t="n">
        <v>65</v>
      </c>
    </row>
    <row r="52" customFormat="false" ht="23.85" hidden="false" customHeight="false" outlineLevel="0" collapsed="false">
      <c r="A52" s="10" t="n">
        <v>51</v>
      </c>
      <c r="B52" s="10" t="s">
        <v>85</v>
      </c>
      <c r="C52" s="21" t="n">
        <v>46203</v>
      </c>
      <c r="D52" s="10" t="s">
        <v>196</v>
      </c>
      <c r="E52" s="10" t="s">
        <v>112</v>
      </c>
      <c r="F52" s="10" t="s">
        <v>290</v>
      </c>
      <c r="G52" s="10" t="s">
        <v>183</v>
      </c>
      <c r="H52" s="10" t="s">
        <v>291</v>
      </c>
      <c r="I52" s="9" t="n">
        <v>283250.6</v>
      </c>
      <c r="J52" s="9" t="n">
        <v>295174.5</v>
      </c>
      <c r="K52" s="10" t="s">
        <v>97</v>
      </c>
      <c r="L52" s="10" t="s">
        <v>101</v>
      </c>
      <c r="M52" s="16" t="str">
        <f aca="false">IFERROR(VLOOKUP(N52,Словарь!$A$2:$B$15,2,FALSE()),"Нужно решение")</f>
        <v>Принято с актом</v>
      </c>
      <c r="N52" s="10" t="s">
        <v>138</v>
      </c>
      <c r="O52" s="10" t="s">
        <v>155</v>
      </c>
      <c r="P52" s="22" t="str">
        <f aca="true">IF(AND(OR(M52="Не начато",M52="В работе",M52="Нужно решение"),C52&lt;TODAY()),TODAY()-C52,"")</f>
        <v/>
      </c>
      <c r="Q52" s="10" t="s">
        <v>143</v>
      </c>
      <c r="R52" s="10" t="s">
        <v>269</v>
      </c>
      <c r="S52" s="10"/>
      <c r="T52" s="10" t="s">
        <v>145</v>
      </c>
      <c r="U52" s="10" t="n">
        <v>66</v>
      </c>
    </row>
    <row r="53" customFormat="false" ht="23.85" hidden="false" customHeight="false" outlineLevel="0" collapsed="false">
      <c r="A53" s="10" t="n">
        <v>52</v>
      </c>
      <c r="B53" s="10" t="s">
        <v>85</v>
      </c>
      <c r="C53" s="21" t="n">
        <v>46203</v>
      </c>
      <c r="D53" s="10" t="s">
        <v>153</v>
      </c>
      <c r="E53" s="10" t="s">
        <v>112</v>
      </c>
      <c r="F53" s="10" t="s">
        <v>292</v>
      </c>
      <c r="G53" s="10" t="s">
        <v>158</v>
      </c>
      <c r="H53" s="10" t="s">
        <v>293</v>
      </c>
      <c r="I53" s="9" t="n">
        <v>40000</v>
      </c>
      <c r="J53" s="9" t="n">
        <v>54000</v>
      </c>
      <c r="K53" s="10" t="s">
        <v>97</v>
      </c>
      <c r="L53" s="10" t="s">
        <v>104</v>
      </c>
      <c r="M53" s="16" t="str">
        <f aca="false">IFERROR(VLOOKUP(N53,Словарь!$A$2:$B$15,2,FALSE()),"Нужно решение")</f>
        <v>Принято с актом</v>
      </c>
      <c r="N53" s="10" t="s">
        <v>138</v>
      </c>
      <c r="O53" s="10" t="s">
        <v>155</v>
      </c>
      <c r="P53" s="22" t="str">
        <f aca="true">IF(AND(OR(M53="Не начато",M53="В работе",M53="Нужно решение"),C53&lt;TODAY()),TODAY()-C53,"")</f>
        <v/>
      </c>
      <c r="Q53" s="10" t="s">
        <v>143</v>
      </c>
      <c r="R53" s="10" t="s">
        <v>269</v>
      </c>
      <c r="S53" s="10"/>
      <c r="T53" s="10" t="s">
        <v>145</v>
      </c>
      <c r="U53" s="10" t="n">
        <v>67</v>
      </c>
    </row>
    <row r="54" customFormat="false" ht="23.85" hidden="false" customHeight="false" outlineLevel="0" collapsed="false">
      <c r="A54" s="10" t="n">
        <v>53</v>
      </c>
      <c r="B54" s="10" t="s">
        <v>85</v>
      </c>
      <c r="C54" s="21" t="n">
        <v>46203</v>
      </c>
      <c r="D54" s="10" t="s">
        <v>294</v>
      </c>
      <c r="E54" s="10" t="s">
        <v>112</v>
      </c>
      <c r="F54" s="10" t="s">
        <v>295</v>
      </c>
      <c r="G54" s="10" t="s">
        <v>142</v>
      </c>
      <c r="H54" s="10" t="s">
        <v>296</v>
      </c>
      <c r="I54" s="9" t="n">
        <v>6000</v>
      </c>
      <c r="J54" s="9"/>
      <c r="K54" s="10" t="s">
        <v>96</v>
      </c>
      <c r="L54" s="10" t="s">
        <v>103</v>
      </c>
      <c r="M54" s="16" t="str">
        <f aca="false">IFERROR(VLOOKUP(N54,Словарь!$A$2:$B$15,2,FALSE()),"Нужно решение")</f>
        <v>Выполнено, ждёт акта</v>
      </c>
      <c r="N54" s="10" t="s">
        <v>150</v>
      </c>
      <c r="O54" s="10" t="s">
        <v>171</v>
      </c>
      <c r="P54" s="22" t="str">
        <f aca="true">IF(AND(OR(M54="Не начато",M54="В работе",M54="Нужно решение"),C54&lt;TODAY()),TODAY()-C54,"")</f>
        <v/>
      </c>
      <c r="Q54" s="10" t="s">
        <v>143</v>
      </c>
      <c r="R54" s="10" t="s">
        <v>269</v>
      </c>
      <c r="S54" s="10"/>
      <c r="T54" s="10" t="s">
        <v>152</v>
      </c>
      <c r="U54" s="10" t="n">
        <v>68</v>
      </c>
    </row>
    <row r="55" customFormat="false" ht="23.85" hidden="false" customHeight="false" outlineLevel="0" collapsed="false">
      <c r="A55" s="10" t="n">
        <v>54</v>
      </c>
      <c r="B55" s="10" t="s">
        <v>85</v>
      </c>
      <c r="C55" s="21" t="n">
        <v>46203</v>
      </c>
      <c r="D55" s="10" t="s">
        <v>294</v>
      </c>
      <c r="E55" s="10" t="s">
        <v>112</v>
      </c>
      <c r="F55" s="10" t="s">
        <v>297</v>
      </c>
      <c r="G55" s="10" t="s">
        <v>183</v>
      </c>
      <c r="H55" s="10" t="s">
        <v>298</v>
      </c>
      <c r="I55" s="9" t="n">
        <v>40000</v>
      </c>
      <c r="J55" s="9" t="n">
        <v>73867.41</v>
      </c>
      <c r="K55" s="10" t="s">
        <v>97</v>
      </c>
      <c r="L55" s="10" t="s">
        <v>100</v>
      </c>
      <c r="M55" s="16" t="str">
        <f aca="false">IFERROR(VLOOKUP(N55,Словарь!$A$2:$B$15,2,FALSE()),"Нужно решение")</f>
        <v>Принято с актом</v>
      </c>
      <c r="N55" s="10" t="s">
        <v>138</v>
      </c>
      <c r="O55" s="10" t="s">
        <v>155</v>
      </c>
      <c r="P55" s="22" t="str">
        <f aca="true">IF(AND(OR(M55="Не начато",M55="В работе",M55="Нужно решение"),C55&lt;TODAY()),TODAY()-C55,"")</f>
        <v/>
      </c>
      <c r="Q55" s="10" t="s">
        <v>143</v>
      </c>
      <c r="R55" s="10" t="s">
        <v>269</v>
      </c>
      <c r="S55" s="10"/>
      <c r="T55" s="10" t="s">
        <v>145</v>
      </c>
      <c r="U55" s="10" t="n">
        <v>69</v>
      </c>
    </row>
    <row r="56" customFormat="false" ht="23.85" hidden="false" customHeight="false" outlineLevel="0" collapsed="false">
      <c r="A56" s="10" t="n">
        <v>55</v>
      </c>
      <c r="B56" s="10" t="s">
        <v>85</v>
      </c>
      <c r="C56" s="21" t="n">
        <v>46203</v>
      </c>
      <c r="D56" s="10" t="s">
        <v>232</v>
      </c>
      <c r="E56" s="10" t="s">
        <v>112</v>
      </c>
      <c r="F56" s="10" t="s">
        <v>299</v>
      </c>
      <c r="G56" s="10" t="s">
        <v>158</v>
      </c>
      <c r="H56" s="10" t="s">
        <v>300</v>
      </c>
      <c r="I56" s="9" t="n">
        <v>37000</v>
      </c>
      <c r="J56" s="9"/>
      <c r="K56" s="10" t="s">
        <v>96</v>
      </c>
      <c r="L56" s="10" t="s">
        <v>106</v>
      </c>
      <c r="M56" s="16" t="str">
        <f aca="false">IFERROR(VLOOKUP(N56,Словарь!$A$2:$B$15,2,FALSE()),"Нужно решение")</f>
        <v>Выполнено, ждёт акта</v>
      </c>
      <c r="N56" s="10" t="s">
        <v>150</v>
      </c>
      <c r="O56" s="10" t="s">
        <v>151</v>
      </c>
      <c r="P56" s="22" t="str">
        <f aca="true">IF(AND(OR(M56="Не начато",M56="В работе",M56="Нужно решение"),C56&lt;TODAY()),TODAY()-C56,"")</f>
        <v/>
      </c>
      <c r="Q56" s="10" t="s">
        <v>143</v>
      </c>
      <c r="R56" s="10" t="s">
        <v>269</v>
      </c>
      <c r="S56" s="10"/>
      <c r="T56" s="10" t="s">
        <v>152</v>
      </c>
      <c r="U56" s="10" t="n">
        <v>70</v>
      </c>
    </row>
    <row r="57" customFormat="false" ht="23.85" hidden="false" customHeight="false" outlineLevel="0" collapsed="false">
      <c r="A57" s="10" t="n">
        <v>56</v>
      </c>
      <c r="B57" s="10" t="s">
        <v>85</v>
      </c>
      <c r="C57" s="21" t="n">
        <v>46203</v>
      </c>
      <c r="D57" s="10" t="s">
        <v>301</v>
      </c>
      <c r="E57" s="10" t="s">
        <v>112</v>
      </c>
      <c r="F57" s="10" t="s">
        <v>302</v>
      </c>
      <c r="G57" s="10" t="s">
        <v>174</v>
      </c>
      <c r="H57" s="10" t="s">
        <v>303</v>
      </c>
      <c r="I57" s="9" t="n">
        <v>20000</v>
      </c>
      <c r="J57" s="9"/>
      <c r="K57" s="10" t="s">
        <v>96</v>
      </c>
      <c r="L57" s="10" t="s">
        <v>108</v>
      </c>
      <c r="M57" s="16" t="str">
        <f aca="false">IFERROR(VLOOKUP(N57,Словарь!$A$2:$B$15,2,FALSE()),"Нужно решение")</f>
        <v>Выполнено, ждёт акта</v>
      </c>
      <c r="N57" s="10" t="s">
        <v>150</v>
      </c>
      <c r="O57" s="10" t="s">
        <v>151</v>
      </c>
      <c r="P57" s="22" t="str">
        <f aca="true">IF(AND(OR(M57="Не начато",M57="В работе",M57="Нужно решение"),C57&lt;TODAY()),TODAY()-C57,"")</f>
        <v/>
      </c>
      <c r="Q57" s="10" t="s">
        <v>143</v>
      </c>
      <c r="R57" s="10" t="s">
        <v>269</v>
      </c>
      <c r="S57" s="10"/>
      <c r="T57" s="10" t="s">
        <v>152</v>
      </c>
      <c r="U57" s="10" t="n">
        <v>71</v>
      </c>
    </row>
    <row r="58" customFormat="false" ht="23.85" hidden="false" customHeight="false" outlineLevel="0" collapsed="false">
      <c r="A58" s="10" t="n">
        <v>57</v>
      </c>
      <c r="B58" s="10" t="s">
        <v>85</v>
      </c>
      <c r="C58" s="21" t="n">
        <v>46203</v>
      </c>
      <c r="D58" s="10" t="s">
        <v>304</v>
      </c>
      <c r="E58" s="10" t="s">
        <v>112</v>
      </c>
      <c r="F58" s="10" t="s">
        <v>305</v>
      </c>
      <c r="G58" s="10" t="s">
        <v>188</v>
      </c>
      <c r="H58" s="10" t="s">
        <v>287</v>
      </c>
      <c r="I58" s="9"/>
      <c r="J58" s="9"/>
      <c r="K58" s="10" t="s">
        <v>96</v>
      </c>
      <c r="L58" s="10" t="s">
        <v>108</v>
      </c>
      <c r="M58" s="16" t="str">
        <f aca="false">IFERROR(VLOOKUP(N58,Словарь!$A$2:$B$15,2,FALSE()),"Нужно решение")</f>
        <v>Выполнено, ждёт акта</v>
      </c>
      <c r="N58" s="10" t="s">
        <v>150</v>
      </c>
      <c r="O58" s="10" t="s">
        <v>151</v>
      </c>
      <c r="P58" s="22" t="str">
        <f aca="true">IF(AND(OR(M58="Не начато",M58="В работе",M58="Нужно решение"),C58&lt;TODAY()),TODAY()-C58,"")</f>
        <v/>
      </c>
      <c r="Q58" s="10" t="s">
        <v>238</v>
      </c>
      <c r="R58" s="10" t="s">
        <v>269</v>
      </c>
      <c r="S58" s="10"/>
      <c r="T58" s="10" t="s">
        <v>239</v>
      </c>
      <c r="U58" s="10" t="n">
        <v>72</v>
      </c>
    </row>
    <row r="59" customFormat="false" ht="23.85" hidden="false" customHeight="false" outlineLevel="0" collapsed="false">
      <c r="A59" s="10" t="n">
        <v>58</v>
      </c>
      <c r="B59" s="10" t="s">
        <v>85</v>
      </c>
      <c r="C59" s="21" t="n">
        <v>46203</v>
      </c>
      <c r="D59" s="10" t="s">
        <v>306</v>
      </c>
      <c r="E59" s="10" t="s">
        <v>112</v>
      </c>
      <c r="F59" s="10" t="s">
        <v>307</v>
      </c>
      <c r="G59" s="10" t="s">
        <v>192</v>
      </c>
      <c r="H59" s="10" t="s">
        <v>308</v>
      </c>
      <c r="I59" s="9" t="n">
        <v>200000</v>
      </c>
      <c r="J59" s="9" t="n">
        <v>472680</v>
      </c>
      <c r="K59" s="10" t="s">
        <v>97</v>
      </c>
      <c r="L59" s="10" t="s">
        <v>107</v>
      </c>
      <c r="M59" s="16" t="str">
        <f aca="false">IFERROR(VLOOKUP(N59,Словарь!$A$2:$B$15,2,FALSE()),"Нужно решение")</f>
        <v>Принято с актом</v>
      </c>
      <c r="N59" s="10" t="s">
        <v>138</v>
      </c>
      <c r="O59" s="10" t="s">
        <v>155</v>
      </c>
      <c r="P59" s="22" t="str">
        <f aca="true">IF(AND(OR(M59="Не начато",M59="В работе",M59="Нужно решение"),C59&lt;TODAY()),TODAY()-C59,"")</f>
        <v/>
      </c>
      <c r="Q59" s="10" t="s">
        <v>143</v>
      </c>
      <c r="R59" s="10" t="s">
        <v>269</v>
      </c>
      <c r="S59" s="10"/>
      <c r="T59" s="10" t="s">
        <v>145</v>
      </c>
      <c r="U59" s="10" t="n">
        <v>73</v>
      </c>
    </row>
    <row r="60" customFormat="false" ht="23.85" hidden="false" customHeight="false" outlineLevel="0" collapsed="false">
      <c r="A60" s="10" t="n">
        <v>59</v>
      </c>
      <c r="B60" s="10" t="s">
        <v>85</v>
      </c>
      <c r="C60" s="21" t="n">
        <v>46203</v>
      </c>
      <c r="D60" s="10" t="s">
        <v>160</v>
      </c>
      <c r="E60" s="10" t="s">
        <v>113</v>
      </c>
      <c r="F60" s="10" t="s">
        <v>309</v>
      </c>
      <c r="G60" s="10" t="s">
        <v>142</v>
      </c>
      <c r="H60" s="10" t="s">
        <v>310</v>
      </c>
      <c r="I60" s="9" t="n">
        <v>7500</v>
      </c>
      <c r="J60" s="9"/>
      <c r="K60" s="10" t="s">
        <v>96</v>
      </c>
      <c r="L60" s="10" t="s">
        <v>101</v>
      </c>
      <c r="M60" s="16" t="str">
        <f aca="false">IFERROR(VLOOKUP(N60,Словарь!$A$2:$B$15,2,FALSE()),"Нужно решение")</f>
        <v>Выполнено, ждёт акта</v>
      </c>
      <c r="N60" s="10" t="s">
        <v>150</v>
      </c>
      <c r="O60" s="10" t="s">
        <v>171</v>
      </c>
      <c r="P60" s="22" t="str">
        <f aca="true">IF(AND(OR(M60="Не начато",M60="В работе",M60="Нужно решение"),C60&lt;TODAY()),TODAY()-C60,"")</f>
        <v/>
      </c>
      <c r="Q60" s="10" t="s">
        <v>143</v>
      </c>
      <c r="R60" s="10" t="s">
        <v>269</v>
      </c>
      <c r="S60" s="10"/>
      <c r="T60" s="10" t="s">
        <v>152</v>
      </c>
      <c r="U60" s="10" t="n">
        <v>74</v>
      </c>
    </row>
    <row r="61" customFormat="false" ht="23.85" hidden="false" customHeight="false" outlineLevel="0" collapsed="false">
      <c r="A61" s="10" t="n">
        <v>60</v>
      </c>
      <c r="B61" s="10" t="s">
        <v>85</v>
      </c>
      <c r="C61" s="21" t="n">
        <v>46203</v>
      </c>
      <c r="D61" s="10" t="s">
        <v>311</v>
      </c>
      <c r="E61" s="10" t="s">
        <v>112</v>
      </c>
      <c r="F61" s="10" t="s">
        <v>312</v>
      </c>
      <c r="G61" s="10" t="s">
        <v>158</v>
      </c>
      <c r="H61" s="10" t="s">
        <v>313</v>
      </c>
      <c r="I61" s="9" t="n">
        <v>5200</v>
      </c>
      <c r="J61" s="9" t="n">
        <v>5100</v>
      </c>
      <c r="K61" s="10" t="s">
        <v>97</v>
      </c>
      <c r="L61" s="10" t="s">
        <v>100</v>
      </c>
      <c r="M61" s="16" t="str">
        <f aca="false">IFERROR(VLOOKUP(N61,Словарь!$A$2:$B$15,2,FALSE()),"Нужно решение")</f>
        <v>Принято с актом</v>
      </c>
      <c r="N61" s="10" t="s">
        <v>138</v>
      </c>
      <c r="O61" s="10" t="s">
        <v>155</v>
      </c>
      <c r="P61" s="22" t="str">
        <f aca="true">IF(AND(OR(M61="Не начато",M61="В работе",M61="Нужно решение"),C61&lt;TODAY()),TODAY()-C61,"")</f>
        <v/>
      </c>
      <c r="Q61" s="10" t="s">
        <v>143</v>
      </c>
      <c r="R61" s="10" t="s">
        <v>269</v>
      </c>
      <c r="S61" s="10"/>
      <c r="T61" s="10" t="s">
        <v>145</v>
      </c>
      <c r="U61" s="10" t="n">
        <v>75</v>
      </c>
    </row>
    <row r="62" customFormat="false" ht="23.85" hidden="false" customHeight="false" outlineLevel="0" collapsed="false">
      <c r="A62" s="10" t="n">
        <v>61</v>
      </c>
      <c r="B62" s="10" t="s">
        <v>85</v>
      </c>
      <c r="C62" s="21" t="n">
        <v>46203</v>
      </c>
      <c r="D62" s="10" t="s">
        <v>314</v>
      </c>
      <c r="E62" s="10" t="s">
        <v>112</v>
      </c>
      <c r="F62" s="10" t="s">
        <v>215</v>
      </c>
      <c r="G62" s="10" t="s">
        <v>142</v>
      </c>
      <c r="H62" s="10" t="s">
        <v>315</v>
      </c>
      <c r="I62" s="9"/>
      <c r="J62" s="9"/>
      <c r="K62" s="10" t="s">
        <v>96</v>
      </c>
      <c r="L62" s="10" t="s">
        <v>108</v>
      </c>
      <c r="M62" s="16" t="str">
        <f aca="false">IFERROR(VLOOKUP(N62,Словарь!$A$2:$B$15,2,FALSE()),"Нужно решение")</f>
        <v>Выполнено, ждёт акта</v>
      </c>
      <c r="N62" s="10" t="s">
        <v>150</v>
      </c>
      <c r="O62" s="10" t="s">
        <v>151</v>
      </c>
      <c r="P62" s="22" t="str">
        <f aca="true">IF(AND(OR(M62="Не начато",M62="В работе",M62="Нужно решение"),C62&lt;TODAY()),TODAY()-C62,"")</f>
        <v/>
      </c>
      <c r="Q62" s="10" t="s">
        <v>143</v>
      </c>
      <c r="R62" s="10" t="s">
        <v>269</v>
      </c>
      <c r="S62" s="10"/>
      <c r="T62" s="10" t="s">
        <v>152</v>
      </c>
      <c r="U62" s="10" t="n">
        <v>76</v>
      </c>
    </row>
    <row r="63" customFormat="false" ht="23.85" hidden="false" customHeight="false" outlineLevel="0" collapsed="false">
      <c r="A63" s="10" t="n">
        <v>62</v>
      </c>
      <c r="B63" s="10" t="s">
        <v>85</v>
      </c>
      <c r="C63" s="21" t="n">
        <v>46203</v>
      </c>
      <c r="D63" s="10" t="s">
        <v>316</v>
      </c>
      <c r="E63" s="10" t="s">
        <v>113</v>
      </c>
      <c r="F63" s="10" t="s">
        <v>317</v>
      </c>
      <c r="G63" s="10" t="s">
        <v>245</v>
      </c>
      <c r="H63" s="10" t="s">
        <v>318</v>
      </c>
      <c r="I63" s="9" t="n">
        <v>270000</v>
      </c>
      <c r="J63" s="9"/>
      <c r="K63" s="10" t="s">
        <v>95</v>
      </c>
      <c r="L63" s="10" t="s">
        <v>101</v>
      </c>
      <c r="M63" s="16" t="str">
        <f aca="false">IFERROR(VLOOKUP(N63,Словарь!$A$2:$B$15,2,FALSE()),"Нужно решение")</f>
        <v>Выполнено, ждёт акта</v>
      </c>
      <c r="N63" s="10" t="s">
        <v>150</v>
      </c>
      <c r="O63" s="10"/>
      <c r="P63" s="22" t="str">
        <f aca="true">IF(AND(OR(M63="Не начато",M63="В работе",M63="Нужно решение"),C63&lt;TODAY()),TODAY()-C63,"")</f>
        <v/>
      </c>
      <c r="Q63" s="10" t="s">
        <v>238</v>
      </c>
      <c r="R63" s="10" t="s">
        <v>269</v>
      </c>
      <c r="S63" s="10"/>
      <c r="T63" s="10" t="s">
        <v>319</v>
      </c>
      <c r="U63" s="10" t="n">
        <v>77</v>
      </c>
    </row>
    <row r="64" customFormat="false" ht="35.05" hidden="false" customHeight="false" outlineLevel="0" collapsed="false">
      <c r="A64" s="10" t="n">
        <v>63</v>
      </c>
      <c r="B64" s="10" t="s">
        <v>86</v>
      </c>
      <c r="C64" s="21" t="n">
        <v>46234</v>
      </c>
      <c r="D64" s="10" t="s">
        <v>320</v>
      </c>
      <c r="E64" s="10" t="s">
        <v>112</v>
      </c>
      <c r="F64" s="10" t="s">
        <v>321</v>
      </c>
      <c r="G64" s="10" t="s">
        <v>245</v>
      </c>
      <c r="H64" s="10" t="s">
        <v>322</v>
      </c>
      <c r="I64" s="9" t="n">
        <v>220000</v>
      </c>
      <c r="J64" s="9"/>
      <c r="K64" s="10" t="s">
        <v>95</v>
      </c>
      <c r="L64" s="10" t="s">
        <v>100</v>
      </c>
      <c r="M64" s="16" t="str">
        <f aca="false">IFERROR(VLOOKUP(N64,Словарь!$A$2:$B$15,2,FALSE()),"Нужно решение")</f>
        <v>Выполнено, ждёт акта</v>
      </c>
      <c r="N64" s="10" t="s">
        <v>150</v>
      </c>
      <c r="O64" s="10"/>
      <c r="P64" s="22" t="str">
        <f aca="true">IF(AND(OR(M64="Не начато",M64="В работе",M64="Нужно решение"),C64&lt;TODAY()),TODAY()-C64,"")</f>
        <v/>
      </c>
      <c r="Q64" s="10" t="s">
        <v>238</v>
      </c>
      <c r="R64" s="10" t="s">
        <v>323</v>
      </c>
      <c r="S64" s="10"/>
      <c r="T64" s="10" t="s">
        <v>319</v>
      </c>
      <c r="U64" s="10" t="n">
        <v>80</v>
      </c>
    </row>
    <row r="65" customFormat="false" ht="23.85" hidden="false" customHeight="false" outlineLevel="0" collapsed="false">
      <c r="A65" s="10" t="n">
        <v>64</v>
      </c>
      <c r="B65" s="10" t="s">
        <v>86</v>
      </c>
      <c r="C65" s="21" t="n">
        <v>46234</v>
      </c>
      <c r="D65" s="10" t="s">
        <v>324</v>
      </c>
      <c r="E65" s="10" t="s">
        <v>112</v>
      </c>
      <c r="F65" s="10" t="s">
        <v>325</v>
      </c>
      <c r="G65" s="10" t="s">
        <v>142</v>
      </c>
      <c r="H65" s="10"/>
      <c r="I65" s="9" t="n">
        <v>77247</v>
      </c>
      <c r="J65" s="9" t="n">
        <v>77247</v>
      </c>
      <c r="K65" s="10" t="s">
        <v>97</v>
      </c>
      <c r="L65" s="10" t="s">
        <v>100</v>
      </c>
      <c r="M65" s="16" t="str">
        <f aca="false">IFERROR(VLOOKUP(N65,Словарь!$A$2:$B$15,2,FALSE()),"Нужно решение")</f>
        <v>Принято с актом</v>
      </c>
      <c r="N65" s="10" t="s">
        <v>138</v>
      </c>
      <c r="O65" s="10" t="s">
        <v>155</v>
      </c>
      <c r="P65" s="22" t="str">
        <f aca="true">IF(AND(OR(M65="Не начато",M65="В работе",M65="Нужно решение"),C65&lt;TODAY()),TODAY()-C65,"")</f>
        <v/>
      </c>
      <c r="Q65" s="10" t="s">
        <v>143</v>
      </c>
      <c r="R65" s="10" t="s">
        <v>326</v>
      </c>
      <c r="S65" s="10"/>
      <c r="T65" s="10" t="s">
        <v>207</v>
      </c>
      <c r="U65" s="10" t="n">
        <v>81</v>
      </c>
    </row>
    <row r="66" customFormat="false" ht="23.85" hidden="false" customHeight="false" outlineLevel="0" collapsed="false">
      <c r="A66" s="10" t="n">
        <v>65</v>
      </c>
      <c r="B66" s="10" t="s">
        <v>86</v>
      </c>
      <c r="C66" s="21" t="n">
        <v>46234</v>
      </c>
      <c r="D66" s="10" t="s">
        <v>324</v>
      </c>
      <c r="E66" s="10" t="s">
        <v>112</v>
      </c>
      <c r="F66" s="10" t="s">
        <v>327</v>
      </c>
      <c r="G66" s="10" t="s">
        <v>192</v>
      </c>
      <c r="H66" s="10"/>
      <c r="I66" s="9" t="n">
        <v>64000</v>
      </c>
      <c r="J66" s="9" t="n">
        <v>64000</v>
      </c>
      <c r="K66" s="10" t="s">
        <v>97</v>
      </c>
      <c r="L66" s="10" t="s">
        <v>100</v>
      </c>
      <c r="M66" s="16" t="str">
        <f aca="false">IFERROR(VLOOKUP(N66,Словарь!$A$2:$B$15,2,FALSE()),"Нужно решение")</f>
        <v>Принято с актом</v>
      </c>
      <c r="N66" s="10" t="s">
        <v>138</v>
      </c>
      <c r="O66" s="10" t="s">
        <v>155</v>
      </c>
      <c r="P66" s="22" t="str">
        <f aca="true">IF(AND(OR(M66="Не начато",M66="В работе",M66="Нужно решение"),C66&lt;TODAY()),TODAY()-C66,"")</f>
        <v/>
      </c>
      <c r="Q66" s="10" t="s">
        <v>238</v>
      </c>
      <c r="R66" s="10" t="s">
        <v>323</v>
      </c>
      <c r="S66" s="10"/>
      <c r="T66" s="10" t="s">
        <v>140</v>
      </c>
      <c r="U66" s="10" t="n">
        <v>82</v>
      </c>
    </row>
    <row r="67" customFormat="false" ht="23.85" hidden="false" customHeight="false" outlineLevel="0" collapsed="false">
      <c r="A67" s="10" t="n">
        <v>66</v>
      </c>
      <c r="B67" s="10" t="s">
        <v>86</v>
      </c>
      <c r="C67" s="21" t="n">
        <v>46234</v>
      </c>
      <c r="D67" s="10" t="s">
        <v>328</v>
      </c>
      <c r="E67" s="10" t="s">
        <v>112</v>
      </c>
      <c r="F67" s="10" t="s">
        <v>329</v>
      </c>
      <c r="G67" s="10" t="s">
        <v>188</v>
      </c>
      <c r="H67" s="10" t="s">
        <v>330</v>
      </c>
      <c r="I67" s="9"/>
      <c r="J67" s="9"/>
      <c r="K67" s="10" t="s">
        <v>96</v>
      </c>
      <c r="L67" s="10" t="s">
        <v>106</v>
      </c>
      <c r="M67" s="16" t="str">
        <f aca="false">IFERROR(VLOOKUP(N67,Словарь!$A$2:$B$15,2,FALSE()),"Нужно решение")</f>
        <v>Выполнено, ждёт акта</v>
      </c>
      <c r="N67" s="10" t="s">
        <v>150</v>
      </c>
      <c r="O67" s="10" t="s">
        <v>151</v>
      </c>
      <c r="P67" s="22" t="str">
        <f aca="true">IF(AND(OR(M67="Не начато",M67="В работе",M67="Нужно решение"),C67&lt;TODAY()),TODAY()-C67,"")</f>
        <v/>
      </c>
      <c r="Q67" s="10" t="s">
        <v>238</v>
      </c>
      <c r="R67" s="10" t="s">
        <v>323</v>
      </c>
      <c r="S67" s="10"/>
      <c r="T67" s="10" t="s">
        <v>239</v>
      </c>
      <c r="U67" s="10" t="n">
        <v>83</v>
      </c>
    </row>
    <row r="68" customFormat="false" ht="23.85" hidden="false" customHeight="false" outlineLevel="0" collapsed="false">
      <c r="A68" s="10" t="n">
        <v>67</v>
      </c>
      <c r="B68" s="10" t="s">
        <v>86</v>
      </c>
      <c r="C68" s="21" t="n">
        <v>46234</v>
      </c>
      <c r="D68" s="10" t="s">
        <v>331</v>
      </c>
      <c r="E68" s="10" t="s">
        <v>114</v>
      </c>
      <c r="F68" s="10" t="s">
        <v>332</v>
      </c>
      <c r="G68" s="10" t="s">
        <v>245</v>
      </c>
      <c r="H68" s="10"/>
      <c r="I68" s="9" t="n">
        <v>5670</v>
      </c>
      <c r="J68" s="9" t="n">
        <v>5670</v>
      </c>
      <c r="K68" s="10" t="s">
        <v>97</v>
      </c>
      <c r="L68" s="10" t="s">
        <v>100</v>
      </c>
      <c r="M68" s="16" t="str">
        <f aca="false">IFERROR(VLOOKUP(N68,Словарь!$A$2:$B$15,2,FALSE()),"Нужно решение")</f>
        <v>Принято с актом</v>
      </c>
      <c r="N68" s="10" t="s">
        <v>138</v>
      </c>
      <c r="O68" s="10" t="s">
        <v>155</v>
      </c>
      <c r="P68" s="22" t="str">
        <f aca="true">IF(AND(OR(M68="Не начато",M68="В работе",M68="Нужно решение"),C68&lt;TODAY()),TODAY()-C68,"")</f>
        <v/>
      </c>
      <c r="Q68" s="10" t="s">
        <v>143</v>
      </c>
      <c r="R68" s="10" t="s">
        <v>326</v>
      </c>
      <c r="S68" s="10"/>
      <c r="T68" s="10" t="s">
        <v>207</v>
      </c>
      <c r="U68" s="10" t="n">
        <v>84</v>
      </c>
    </row>
    <row r="69" customFormat="false" ht="23.85" hidden="false" customHeight="false" outlineLevel="0" collapsed="false">
      <c r="A69" s="10" t="n">
        <v>68</v>
      </c>
      <c r="B69" s="10" t="s">
        <v>86</v>
      </c>
      <c r="C69" s="21" t="n">
        <v>46234</v>
      </c>
      <c r="D69" s="10" t="s">
        <v>331</v>
      </c>
      <c r="E69" s="10" t="s">
        <v>114</v>
      </c>
      <c r="F69" s="10" t="s">
        <v>333</v>
      </c>
      <c r="G69" s="10" t="s">
        <v>183</v>
      </c>
      <c r="H69" s="10"/>
      <c r="I69" s="9" t="n">
        <v>8750</v>
      </c>
      <c r="J69" s="9" t="n">
        <v>8750</v>
      </c>
      <c r="K69" s="10" t="s">
        <v>97</v>
      </c>
      <c r="L69" s="10" t="s">
        <v>100</v>
      </c>
      <c r="M69" s="16" t="str">
        <f aca="false">IFERROR(VLOOKUP(N69,Словарь!$A$2:$B$15,2,FALSE()),"Нужно решение")</f>
        <v>Принято с актом</v>
      </c>
      <c r="N69" s="10" t="s">
        <v>138</v>
      </c>
      <c r="O69" s="10" t="s">
        <v>155</v>
      </c>
      <c r="P69" s="22" t="str">
        <f aca="true">IF(AND(OR(M69="Не начато",M69="В работе",M69="Нужно решение"),C69&lt;TODAY()),TODAY()-C69,"")</f>
        <v/>
      </c>
      <c r="Q69" s="10" t="s">
        <v>143</v>
      </c>
      <c r="R69" s="10" t="s">
        <v>326</v>
      </c>
      <c r="S69" s="10"/>
      <c r="T69" s="10" t="s">
        <v>207</v>
      </c>
      <c r="U69" s="10" t="n">
        <v>85</v>
      </c>
    </row>
    <row r="70" customFormat="false" ht="23.85" hidden="false" customHeight="false" outlineLevel="0" collapsed="false">
      <c r="A70" s="10" t="n">
        <v>69</v>
      </c>
      <c r="B70" s="10" t="s">
        <v>86</v>
      </c>
      <c r="C70" s="21" t="n">
        <v>46234</v>
      </c>
      <c r="D70" s="10" t="s">
        <v>334</v>
      </c>
      <c r="E70" s="10" t="s">
        <v>114</v>
      </c>
      <c r="F70" s="10" t="s">
        <v>333</v>
      </c>
      <c r="G70" s="10" t="s">
        <v>183</v>
      </c>
      <c r="H70" s="10"/>
      <c r="I70" s="9" t="n">
        <v>8750</v>
      </c>
      <c r="J70" s="9" t="n">
        <v>8750</v>
      </c>
      <c r="K70" s="10" t="s">
        <v>97</v>
      </c>
      <c r="L70" s="10" t="s">
        <v>100</v>
      </c>
      <c r="M70" s="16" t="str">
        <f aca="false">IFERROR(VLOOKUP(N70,Словарь!$A$2:$B$15,2,FALSE()),"Нужно решение")</f>
        <v>Принято с актом</v>
      </c>
      <c r="N70" s="10" t="s">
        <v>138</v>
      </c>
      <c r="O70" s="10" t="s">
        <v>139</v>
      </c>
      <c r="P70" s="22" t="str">
        <f aca="true">IF(AND(OR(M70="Не начато",M70="В работе",M70="Нужно решение"),C70&lt;TODAY()),TODAY()-C70,"")</f>
        <v/>
      </c>
      <c r="Q70" s="10" t="s">
        <v>238</v>
      </c>
      <c r="R70" s="10" t="s">
        <v>323</v>
      </c>
      <c r="S70" s="10"/>
      <c r="T70" s="10" t="s">
        <v>140</v>
      </c>
      <c r="U70" s="10" t="n">
        <v>86</v>
      </c>
    </row>
    <row r="71" customFormat="false" ht="23.85" hidden="false" customHeight="false" outlineLevel="0" collapsed="false">
      <c r="A71" s="10" t="n">
        <v>70</v>
      </c>
      <c r="B71" s="10" t="s">
        <v>86</v>
      </c>
      <c r="C71" s="21" t="n">
        <v>46234</v>
      </c>
      <c r="D71" s="10" t="s">
        <v>334</v>
      </c>
      <c r="E71" s="10" t="s">
        <v>114</v>
      </c>
      <c r="F71" s="10" t="s">
        <v>335</v>
      </c>
      <c r="G71" s="10" t="s">
        <v>148</v>
      </c>
      <c r="H71" s="10"/>
      <c r="I71" s="9" t="n">
        <v>4669.98</v>
      </c>
      <c r="J71" s="9" t="n">
        <v>4669.98</v>
      </c>
      <c r="K71" s="10" t="s">
        <v>97</v>
      </c>
      <c r="L71" s="10" t="s">
        <v>100</v>
      </c>
      <c r="M71" s="16" t="str">
        <f aca="false">IFERROR(VLOOKUP(N71,Словарь!$A$2:$B$15,2,FALSE()),"Нужно решение")</f>
        <v>Выполнено, ждёт акта</v>
      </c>
      <c r="N71" s="10" t="s">
        <v>150</v>
      </c>
      <c r="O71" s="10"/>
      <c r="P71" s="22" t="str">
        <f aca="true">IF(AND(OR(M71="Не начато",M71="В работе",M71="Нужно решение"),C71&lt;TODAY()),TODAY()-C71,"")</f>
        <v/>
      </c>
      <c r="Q71" s="10" t="s">
        <v>238</v>
      </c>
      <c r="R71" s="10" t="s">
        <v>323</v>
      </c>
      <c r="S71" s="10"/>
      <c r="T71" s="10" t="s">
        <v>319</v>
      </c>
      <c r="U71" s="10" t="n">
        <v>87</v>
      </c>
    </row>
    <row r="72" customFormat="false" ht="23.85" hidden="false" customHeight="false" outlineLevel="0" collapsed="false">
      <c r="A72" s="10" t="n">
        <v>71</v>
      </c>
      <c r="B72" s="10" t="s">
        <v>86</v>
      </c>
      <c r="C72" s="21" t="n">
        <v>46234</v>
      </c>
      <c r="D72" s="10" t="s">
        <v>334</v>
      </c>
      <c r="E72" s="10" t="s">
        <v>114</v>
      </c>
      <c r="F72" s="10" t="s">
        <v>336</v>
      </c>
      <c r="G72" s="10" t="s">
        <v>245</v>
      </c>
      <c r="H72" s="10"/>
      <c r="I72" s="9" t="n">
        <v>33480</v>
      </c>
      <c r="J72" s="9" t="n">
        <v>33480</v>
      </c>
      <c r="K72" s="10" t="s">
        <v>97</v>
      </c>
      <c r="L72" s="10" t="s">
        <v>100</v>
      </c>
      <c r="M72" s="16" t="str">
        <f aca="false">IFERROR(VLOOKUP(N72,Словарь!$A$2:$B$15,2,FALSE()),"Нужно решение")</f>
        <v>Принято с актом</v>
      </c>
      <c r="N72" s="10" t="s">
        <v>138</v>
      </c>
      <c r="O72" s="10" t="s">
        <v>155</v>
      </c>
      <c r="P72" s="22" t="str">
        <f aca="true">IF(AND(OR(M72="Не начато",M72="В работе",M72="Нужно решение"),C72&lt;TODAY()),TODAY()-C72,"")</f>
        <v/>
      </c>
      <c r="Q72" s="10" t="s">
        <v>143</v>
      </c>
      <c r="R72" s="10" t="s">
        <v>326</v>
      </c>
      <c r="S72" s="10"/>
      <c r="T72" s="10" t="s">
        <v>207</v>
      </c>
      <c r="U72" s="10" t="n">
        <v>88</v>
      </c>
    </row>
    <row r="73" customFormat="false" ht="23.85" hidden="false" customHeight="false" outlineLevel="0" collapsed="false">
      <c r="A73" s="10" t="n">
        <v>72</v>
      </c>
      <c r="B73" s="10" t="s">
        <v>86</v>
      </c>
      <c r="C73" s="21" t="n">
        <v>46234</v>
      </c>
      <c r="D73" s="10" t="s">
        <v>337</v>
      </c>
      <c r="E73" s="10" t="s">
        <v>114</v>
      </c>
      <c r="F73" s="10" t="s">
        <v>338</v>
      </c>
      <c r="G73" s="10" t="s">
        <v>142</v>
      </c>
      <c r="H73" s="10"/>
      <c r="I73" s="9" t="n">
        <v>22770</v>
      </c>
      <c r="J73" s="9" t="n">
        <v>22770</v>
      </c>
      <c r="K73" s="10" t="s">
        <v>97</v>
      </c>
      <c r="L73" s="10" t="s">
        <v>100</v>
      </c>
      <c r="M73" s="16" t="str">
        <f aca="false">IFERROR(VLOOKUP(N73,Словарь!$A$2:$B$15,2,FALSE()),"Нужно решение")</f>
        <v>Принято с актом</v>
      </c>
      <c r="N73" s="10" t="s">
        <v>138</v>
      </c>
      <c r="O73" s="10" t="s">
        <v>155</v>
      </c>
      <c r="P73" s="22" t="str">
        <f aca="true">IF(AND(OR(M73="Не начато",M73="В работе",M73="Нужно решение"),C73&lt;TODAY()),TODAY()-C73,"")</f>
        <v/>
      </c>
      <c r="Q73" s="10" t="s">
        <v>143</v>
      </c>
      <c r="R73" s="10" t="s">
        <v>326</v>
      </c>
      <c r="S73" s="10"/>
      <c r="T73" s="10" t="s">
        <v>207</v>
      </c>
      <c r="U73" s="10" t="n">
        <v>89</v>
      </c>
    </row>
    <row r="74" customFormat="false" ht="23.85" hidden="false" customHeight="false" outlineLevel="0" collapsed="false">
      <c r="A74" s="10" t="n">
        <v>73</v>
      </c>
      <c r="B74" s="10" t="s">
        <v>86</v>
      </c>
      <c r="C74" s="21" t="n">
        <v>46234</v>
      </c>
      <c r="D74" s="10" t="s">
        <v>339</v>
      </c>
      <c r="E74" s="10" t="s">
        <v>113</v>
      </c>
      <c r="F74" s="10" t="s">
        <v>340</v>
      </c>
      <c r="G74" s="10" t="s">
        <v>183</v>
      </c>
      <c r="H74" s="10"/>
      <c r="I74" s="9" t="n">
        <v>240000</v>
      </c>
      <c r="J74" s="9"/>
      <c r="K74" s="10" t="s">
        <v>97</v>
      </c>
      <c r="L74" s="10" t="s">
        <v>101</v>
      </c>
      <c r="M74" s="16" t="str">
        <f aca="false">IFERROR(VLOOKUP(N74,Словарь!$A$2:$B$15,2,FALSE()),"Нужно решение")</f>
        <v>Принято с актом</v>
      </c>
      <c r="N74" s="10" t="s">
        <v>138</v>
      </c>
      <c r="O74" s="10" t="s">
        <v>139</v>
      </c>
      <c r="P74" s="22" t="str">
        <f aca="true">IF(AND(OR(M74="Не начато",M74="В работе",M74="Нужно решение"),C74&lt;TODAY()),TODAY()-C74,"")</f>
        <v/>
      </c>
      <c r="Q74" s="10" t="s">
        <v>238</v>
      </c>
      <c r="R74" s="10" t="s">
        <v>323</v>
      </c>
      <c r="S74" s="10"/>
      <c r="T74" s="10" t="s">
        <v>140</v>
      </c>
      <c r="U74" s="10" t="n">
        <v>90</v>
      </c>
    </row>
    <row r="75" customFormat="false" ht="23.85" hidden="false" customHeight="false" outlineLevel="0" collapsed="false">
      <c r="A75" s="10" t="n">
        <v>74</v>
      </c>
      <c r="B75" s="10" t="s">
        <v>86</v>
      </c>
      <c r="C75" s="21" t="n">
        <v>46234</v>
      </c>
      <c r="D75" s="10" t="s">
        <v>341</v>
      </c>
      <c r="E75" s="10" t="s">
        <v>113</v>
      </c>
      <c r="F75" s="10" t="s">
        <v>342</v>
      </c>
      <c r="G75" s="10" t="s">
        <v>142</v>
      </c>
      <c r="H75" s="10" t="s">
        <v>343</v>
      </c>
      <c r="I75" s="9" t="n">
        <v>222000</v>
      </c>
      <c r="J75" s="9" t="n">
        <v>222348.32</v>
      </c>
      <c r="K75" s="10" t="s">
        <v>97</v>
      </c>
      <c r="L75" s="10" t="s">
        <v>101</v>
      </c>
      <c r="M75" s="16" t="str">
        <f aca="false">IFERROR(VLOOKUP(N75,Словарь!$A$2:$B$15,2,FALSE()),"Нужно решение")</f>
        <v>Принято с актом</v>
      </c>
      <c r="N75" s="10" t="s">
        <v>138</v>
      </c>
      <c r="O75" s="10" t="s">
        <v>139</v>
      </c>
      <c r="P75" s="22" t="str">
        <f aca="true">IF(AND(OR(M75="Не начато",M75="В работе",M75="Нужно решение"),C75&lt;TODAY()),TODAY()-C75,"")</f>
        <v/>
      </c>
      <c r="Q75" s="10" t="s">
        <v>238</v>
      </c>
      <c r="R75" s="10" t="s">
        <v>323</v>
      </c>
      <c r="S75" s="10"/>
      <c r="T75" s="10" t="s">
        <v>140</v>
      </c>
      <c r="U75" s="10" t="n">
        <v>91</v>
      </c>
    </row>
    <row r="76" customFormat="false" ht="23.85" hidden="false" customHeight="false" outlineLevel="0" collapsed="false">
      <c r="A76" s="10" t="n">
        <v>75</v>
      </c>
      <c r="B76" s="10" t="s">
        <v>86</v>
      </c>
      <c r="C76" s="21" t="n">
        <v>46234</v>
      </c>
      <c r="D76" s="10" t="s">
        <v>344</v>
      </c>
      <c r="E76" s="10" t="s">
        <v>114</v>
      </c>
      <c r="F76" s="10" t="s">
        <v>333</v>
      </c>
      <c r="G76" s="10" t="s">
        <v>183</v>
      </c>
      <c r="H76" s="10"/>
      <c r="I76" s="9" t="n">
        <v>10000</v>
      </c>
      <c r="J76" s="9" t="n">
        <v>10000</v>
      </c>
      <c r="K76" s="10" t="s">
        <v>97</v>
      </c>
      <c r="L76" s="10" t="s">
        <v>100</v>
      </c>
      <c r="M76" s="16" t="str">
        <f aca="false">IFERROR(VLOOKUP(N76,Словарь!$A$2:$B$15,2,FALSE()),"Нужно решение")</f>
        <v>Принято с актом</v>
      </c>
      <c r="N76" s="10" t="s">
        <v>138</v>
      </c>
      <c r="O76" s="10" t="s">
        <v>139</v>
      </c>
      <c r="P76" s="22" t="str">
        <f aca="true">IF(AND(OR(M76="Не начато",M76="В работе",M76="Нужно решение"),C76&lt;TODAY()),TODAY()-C76,"")</f>
        <v/>
      </c>
      <c r="Q76" s="10" t="s">
        <v>238</v>
      </c>
      <c r="R76" s="10" t="s">
        <v>323</v>
      </c>
      <c r="S76" s="10"/>
      <c r="T76" s="10" t="s">
        <v>140</v>
      </c>
      <c r="U76" s="10" t="n">
        <v>92</v>
      </c>
    </row>
    <row r="77" customFormat="false" ht="23.85" hidden="false" customHeight="false" outlineLevel="0" collapsed="false">
      <c r="A77" s="10" t="n">
        <v>76</v>
      </c>
      <c r="B77" s="10" t="s">
        <v>86</v>
      </c>
      <c r="C77" s="21" t="n">
        <v>46234</v>
      </c>
      <c r="D77" s="10" t="s">
        <v>345</v>
      </c>
      <c r="E77" s="10" t="s">
        <v>114</v>
      </c>
      <c r="F77" s="10" t="s">
        <v>346</v>
      </c>
      <c r="G77" s="10" t="s">
        <v>148</v>
      </c>
      <c r="H77" s="10"/>
      <c r="I77" s="9" t="n">
        <v>19093.43</v>
      </c>
      <c r="J77" s="9" t="n">
        <v>19093.43</v>
      </c>
      <c r="K77" s="10" t="s">
        <v>97</v>
      </c>
      <c r="L77" s="10" t="s">
        <v>100</v>
      </c>
      <c r="M77" s="16" t="str">
        <f aca="false">IFERROR(VLOOKUP(N77,Словарь!$A$2:$B$15,2,FALSE()),"Нужно решение")</f>
        <v>Выполнено, ждёт акта</v>
      </c>
      <c r="N77" s="10" t="s">
        <v>150</v>
      </c>
      <c r="O77" s="10"/>
      <c r="P77" s="22" t="str">
        <f aca="true">IF(AND(OR(M77="Не начато",M77="В работе",M77="Нужно решение"),C77&lt;TODAY()),TODAY()-C77,"")</f>
        <v/>
      </c>
      <c r="Q77" s="10" t="s">
        <v>238</v>
      </c>
      <c r="R77" s="10" t="s">
        <v>323</v>
      </c>
      <c r="S77" s="10"/>
      <c r="T77" s="10" t="s">
        <v>319</v>
      </c>
      <c r="U77" s="10" t="n">
        <v>93</v>
      </c>
    </row>
    <row r="78" customFormat="false" ht="23.85" hidden="false" customHeight="false" outlineLevel="0" collapsed="false">
      <c r="A78" s="10" t="n">
        <v>77</v>
      </c>
      <c r="B78" s="10" t="s">
        <v>86</v>
      </c>
      <c r="C78" s="21" t="n">
        <v>46234</v>
      </c>
      <c r="D78" s="10" t="s">
        <v>347</v>
      </c>
      <c r="E78" s="10" t="s">
        <v>114</v>
      </c>
      <c r="F78" s="10" t="s">
        <v>348</v>
      </c>
      <c r="G78" s="10" t="s">
        <v>245</v>
      </c>
      <c r="H78" s="10"/>
      <c r="I78" s="9" t="n">
        <v>104265.5</v>
      </c>
      <c r="J78" s="9" t="n">
        <v>104265.5</v>
      </c>
      <c r="K78" s="10" t="s">
        <v>97</v>
      </c>
      <c r="L78" s="10" t="s">
        <v>100</v>
      </c>
      <c r="M78" s="16" t="str">
        <f aca="false">IFERROR(VLOOKUP(N78,Словарь!$A$2:$B$15,2,FALSE()),"Нужно решение")</f>
        <v>Принято с актом</v>
      </c>
      <c r="N78" s="10" t="s">
        <v>138</v>
      </c>
      <c r="O78" s="10" t="s">
        <v>155</v>
      </c>
      <c r="P78" s="22" t="str">
        <f aca="true">IF(AND(OR(M78="Не начато",M78="В работе",M78="Нужно решение"),C78&lt;TODAY()),TODAY()-C78,"")</f>
        <v/>
      </c>
      <c r="Q78" s="10" t="s">
        <v>143</v>
      </c>
      <c r="R78" s="10" t="s">
        <v>326</v>
      </c>
      <c r="S78" s="10"/>
      <c r="T78" s="10" t="s">
        <v>207</v>
      </c>
      <c r="U78" s="10" t="n">
        <v>94</v>
      </c>
    </row>
    <row r="79" customFormat="false" ht="23.85" hidden="false" customHeight="false" outlineLevel="0" collapsed="false">
      <c r="A79" s="10" t="n">
        <v>78</v>
      </c>
      <c r="B79" s="10" t="s">
        <v>86</v>
      </c>
      <c r="C79" s="21" t="n">
        <v>46234</v>
      </c>
      <c r="D79" s="10" t="s">
        <v>347</v>
      </c>
      <c r="E79" s="10" t="s">
        <v>114</v>
      </c>
      <c r="F79" s="10" t="s">
        <v>333</v>
      </c>
      <c r="G79" s="10" t="s">
        <v>183</v>
      </c>
      <c r="H79" s="10"/>
      <c r="I79" s="9" t="n">
        <v>10000</v>
      </c>
      <c r="J79" s="9" t="n">
        <v>10000</v>
      </c>
      <c r="K79" s="10" t="s">
        <v>97</v>
      </c>
      <c r="L79" s="10" t="s">
        <v>100</v>
      </c>
      <c r="M79" s="16" t="str">
        <f aca="false">IFERROR(VLOOKUP(N79,Словарь!$A$2:$B$15,2,FALSE()),"Нужно решение")</f>
        <v>Принято с актом</v>
      </c>
      <c r="N79" s="10" t="s">
        <v>138</v>
      </c>
      <c r="O79" s="10" t="s">
        <v>139</v>
      </c>
      <c r="P79" s="22" t="str">
        <f aca="true">IF(AND(OR(M79="Не начато",M79="В работе",M79="Нужно решение"),C79&lt;TODAY()),TODAY()-C79,"")</f>
        <v/>
      </c>
      <c r="Q79" s="10" t="s">
        <v>238</v>
      </c>
      <c r="R79" s="10" t="s">
        <v>323</v>
      </c>
      <c r="S79" s="10"/>
      <c r="T79" s="10" t="s">
        <v>140</v>
      </c>
      <c r="U79" s="10" t="n">
        <v>95</v>
      </c>
    </row>
    <row r="80" customFormat="false" ht="23.85" hidden="false" customHeight="false" outlineLevel="0" collapsed="false">
      <c r="A80" s="10" t="n">
        <v>79</v>
      </c>
      <c r="B80" s="10" t="s">
        <v>86</v>
      </c>
      <c r="C80" s="21" t="n">
        <v>46234</v>
      </c>
      <c r="D80" s="10" t="s">
        <v>349</v>
      </c>
      <c r="E80" s="10" t="s">
        <v>114</v>
      </c>
      <c r="F80" s="10" t="s">
        <v>350</v>
      </c>
      <c r="G80" s="10" t="s">
        <v>174</v>
      </c>
      <c r="H80" s="10"/>
      <c r="I80" s="9" t="n">
        <v>16141.71</v>
      </c>
      <c r="J80" s="9" t="n">
        <v>16141.71</v>
      </c>
      <c r="K80" s="10" t="s">
        <v>97</v>
      </c>
      <c r="L80" s="10" t="s">
        <v>100</v>
      </c>
      <c r="M80" s="16" t="str">
        <f aca="false">IFERROR(VLOOKUP(N80,Словарь!$A$2:$B$15,2,FALSE()),"Нужно решение")</f>
        <v>Выполнено, ждёт акта</v>
      </c>
      <c r="N80" s="10" t="s">
        <v>150</v>
      </c>
      <c r="O80" s="10"/>
      <c r="P80" s="22" t="str">
        <f aca="true">IF(AND(OR(M80="Не начато",M80="В работе",M80="Нужно решение"),C80&lt;TODAY()),TODAY()-C80,"")</f>
        <v/>
      </c>
      <c r="Q80" s="10" t="s">
        <v>238</v>
      </c>
      <c r="R80" s="10" t="s">
        <v>323</v>
      </c>
      <c r="S80" s="10"/>
      <c r="T80" s="10" t="s">
        <v>319</v>
      </c>
      <c r="U80" s="10" t="n">
        <v>98</v>
      </c>
    </row>
    <row r="81" customFormat="false" ht="23.85" hidden="false" customHeight="false" outlineLevel="0" collapsed="false">
      <c r="A81" s="10" t="n">
        <v>80</v>
      </c>
      <c r="B81" s="10" t="s">
        <v>86</v>
      </c>
      <c r="C81" s="21" t="n">
        <v>46234</v>
      </c>
      <c r="D81" s="10" t="s">
        <v>351</v>
      </c>
      <c r="E81" s="10" t="s">
        <v>114</v>
      </c>
      <c r="F81" s="10" t="s">
        <v>333</v>
      </c>
      <c r="G81" s="10" t="s">
        <v>183</v>
      </c>
      <c r="H81" s="10"/>
      <c r="I81" s="9" t="n">
        <v>8750</v>
      </c>
      <c r="J81" s="9" t="n">
        <v>8750</v>
      </c>
      <c r="K81" s="10" t="s">
        <v>97</v>
      </c>
      <c r="L81" s="10" t="s">
        <v>100</v>
      </c>
      <c r="M81" s="16" t="str">
        <f aca="false">IFERROR(VLOOKUP(N81,Словарь!$A$2:$B$15,2,FALSE()),"Нужно решение")</f>
        <v>Принято с актом</v>
      </c>
      <c r="N81" s="10" t="s">
        <v>138</v>
      </c>
      <c r="O81" s="10" t="s">
        <v>139</v>
      </c>
      <c r="P81" s="22" t="str">
        <f aca="true">IF(AND(OR(M81="Не начато",M81="В работе",M81="Нужно решение"),C81&lt;TODAY()),TODAY()-C81,"")</f>
        <v/>
      </c>
      <c r="Q81" s="10" t="s">
        <v>238</v>
      </c>
      <c r="R81" s="10" t="s">
        <v>323</v>
      </c>
      <c r="S81" s="10"/>
      <c r="T81" s="10" t="s">
        <v>140</v>
      </c>
      <c r="U81" s="10" t="n">
        <v>96</v>
      </c>
    </row>
    <row r="82" customFormat="false" ht="23.85" hidden="false" customHeight="false" outlineLevel="0" collapsed="false">
      <c r="A82" s="10" t="n">
        <v>81</v>
      </c>
      <c r="B82" s="10" t="s">
        <v>86</v>
      </c>
      <c r="C82" s="21" t="n">
        <v>46234</v>
      </c>
      <c r="D82" s="10" t="s">
        <v>351</v>
      </c>
      <c r="E82" s="10" t="s">
        <v>114</v>
      </c>
      <c r="F82" s="10" t="s">
        <v>352</v>
      </c>
      <c r="G82" s="10" t="s">
        <v>245</v>
      </c>
      <c r="H82" s="10"/>
      <c r="I82" s="9" t="n">
        <v>127600</v>
      </c>
      <c r="J82" s="9" t="n">
        <v>127600</v>
      </c>
      <c r="K82" s="10" t="s">
        <v>97</v>
      </c>
      <c r="L82" s="10" t="s">
        <v>100</v>
      </c>
      <c r="M82" s="16" t="str">
        <f aca="false">IFERROR(VLOOKUP(N82,Словарь!$A$2:$B$15,2,FALSE()),"Нужно решение")</f>
        <v>Принято с актом</v>
      </c>
      <c r="N82" s="10" t="s">
        <v>138</v>
      </c>
      <c r="O82" s="10" t="s">
        <v>155</v>
      </c>
      <c r="P82" s="22" t="str">
        <f aca="true">IF(AND(OR(M82="Не начато",M82="В работе",M82="Нужно решение"),C82&lt;TODAY()),TODAY()-C82,"")</f>
        <v/>
      </c>
      <c r="Q82" s="10" t="s">
        <v>143</v>
      </c>
      <c r="R82" s="10" t="s">
        <v>323</v>
      </c>
      <c r="S82" s="10"/>
      <c r="T82" s="10" t="s">
        <v>207</v>
      </c>
      <c r="U82" s="10" t="n">
        <v>97</v>
      </c>
    </row>
    <row r="83" customFormat="false" ht="23.85" hidden="false" customHeight="false" outlineLevel="0" collapsed="false">
      <c r="A83" s="10" t="n">
        <v>82</v>
      </c>
      <c r="B83" s="10" t="s">
        <v>86</v>
      </c>
      <c r="C83" s="21" t="n">
        <v>46234</v>
      </c>
      <c r="D83" s="10" t="s">
        <v>353</v>
      </c>
      <c r="E83" s="10" t="s">
        <v>114</v>
      </c>
      <c r="F83" s="10" t="s">
        <v>354</v>
      </c>
      <c r="G83" s="10" t="s">
        <v>148</v>
      </c>
      <c r="H83" s="10"/>
      <c r="I83" s="9" t="n">
        <v>2334.99</v>
      </c>
      <c r="J83" s="9" t="n">
        <v>2249.94</v>
      </c>
      <c r="K83" s="10" t="s">
        <v>97</v>
      </c>
      <c r="L83" s="10" t="s">
        <v>100</v>
      </c>
      <c r="M83" s="16" t="str">
        <f aca="false">IFERROR(VLOOKUP(N83,Словарь!$A$2:$B$15,2,FALSE()),"Нужно решение")</f>
        <v>Принято с актом</v>
      </c>
      <c r="N83" s="10" t="s">
        <v>138</v>
      </c>
      <c r="O83" s="10" t="s">
        <v>155</v>
      </c>
      <c r="P83" s="22" t="str">
        <f aca="true">IF(AND(OR(M83="Не начато",M83="В работе",M83="Нужно решение"),C83&lt;TODAY()),TODAY()-C83,"")</f>
        <v/>
      </c>
      <c r="Q83" s="10" t="s">
        <v>143</v>
      </c>
      <c r="R83" s="10" t="s">
        <v>326</v>
      </c>
      <c r="S83" s="10"/>
      <c r="T83" s="10" t="s">
        <v>207</v>
      </c>
      <c r="U83" s="10" t="n">
        <v>99</v>
      </c>
    </row>
    <row r="84" customFormat="false" ht="23.85" hidden="false" customHeight="false" outlineLevel="0" collapsed="false">
      <c r="A84" s="10" t="n">
        <v>83</v>
      </c>
      <c r="B84" s="10" t="s">
        <v>86</v>
      </c>
      <c r="C84" s="21" t="n">
        <v>46234</v>
      </c>
      <c r="D84" s="10" t="s">
        <v>353</v>
      </c>
      <c r="E84" s="10" t="s">
        <v>114</v>
      </c>
      <c r="F84" s="10" t="s">
        <v>333</v>
      </c>
      <c r="G84" s="10" t="s">
        <v>183</v>
      </c>
      <c r="H84" s="10"/>
      <c r="I84" s="9" t="n">
        <v>10000</v>
      </c>
      <c r="J84" s="9" t="n">
        <v>10000</v>
      </c>
      <c r="K84" s="10" t="s">
        <v>97</v>
      </c>
      <c r="L84" s="10" t="s">
        <v>100</v>
      </c>
      <c r="M84" s="16" t="str">
        <f aca="false">IFERROR(VLOOKUP(N84,Словарь!$A$2:$B$15,2,FALSE()),"Нужно решение")</f>
        <v>Принято с актом</v>
      </c>
      <c r="N84" s="10" t="s">
        <v>138</v>
      </c>
      <c r="O84" s="10" t="s">
        <v>155</v>
      </c>
      <c r="P84" s="22" t="str">
        <f aca="true">IF(AND(OR(M84="Не начато",M84="В работе",M84="Нужно решение"),C84&lt;TODAY()),TODAY()-C84,"")</f>
        <v/>
      </c>
      <c r="Q84" s="10" t="s">
        <v>143</v>
      </c>
      <c r="R84" s="10" t="s">
        <v>326</v>
      </c>
      <c r="S84" s="10"/>
      <c r="T84" s="10" t="s">
        <v>207</v>
      </c>
      <c r="U84" s="10" t="n">
        <v>100</v>
      </c>
    </row>
    <row r="85" customFormat="false" ht="23.85" hidden="false" customHeight="false" outlineLevel="0" collapsed="false">
      <c r="A85" s="10" t="n">
        <v>84</v>
      </c>
      <c r="B85" s="10" t="s">
        <v>86</v>
      </c>
      <c r="C85" s="21" t="n">
        <v>46234</v>
      </c>
      <c r="D85" s="10" t="s">
        <v>355</v>
      </c>
      <c r="E85" s="10" t="s">
        <v>114</v>
      </c>
      <c r="F85" s="10" t="s">
        <v>333</v>
      </c>
      <c r="G85" s="10" t="s">
        <v>183</v>
      </c>
      <c r="H85" s="10"/>
      <c r="I85" s="9" t="n">
        <v>8750</v>
      </c>
      <c r="J85" s="9" t="n">
        <v>8750</v>
      </c>
      <c r="K85" s="10" t="s">
        <v>97</v>
      </c>
      <c r="L85" s="10" t="s">
        <v>100</v>
      </c>
      <c r="M85" s="16" t="str">
        <f aca="false">IFERROR(VLOOKUP(N85,Словарь!$A$2:$B$15,2,FALSE()),"Нужно решение")</f>
        <v>Принято с актом</v>
      </c>
      <c r="N85" s="10" t="s">
        <v>138</v>
      </c>
      <c r="O85" s="10" t="s">
        <v>155</v>
      </c>
      <c r="P85" s="22" t="str">
        <f aca="true">IF(AND(OR(M85="Не начато",M85="В работе",M85="Нужно решение"),C85&lt;TODAY()),TODAY()-C85,"")</f>
        <v/>
      </c>
      <c r="Q85" s="10" t="s">
        <v>143</v>
      </c>
      <c r="R85" s="10" t="s">
        <v>326</v>
      </c>
      <c r="S85" s="10"/>
      <c r="T85" s="10" t="s">
        <v>207</v>
      </c>
      <c r="U85" s="10" t="n">
        <v>101</v>
      </c>
    </row>
    <row r="86" customFormat="false" ht="23.85" hidden="false" customHeight="false" outlineLevel="0" collapsed="false">
      <c r="A86" s="10" t="n">
        <v>85</v>
      </c>
      <c r="B86" s="10" t="s">
        <v>86</v>
      </c>
      <c r="C86" s="21" t="n">
        <v>46234</v>
      </c>
      <c r="D86" s="10" t="s">
        <v>356</v>
      </c>
      <c r="E86" s="10" t="s">
        <v>112</v>
      </c>
      <c r="F86" s="10" t="s">
        <v>290</v>
      </c>
      <c r="G86" s="10" t="s">
        <v>183</v>
      </c>
      <c r="H86" s="10" t="s">
        <v>357</v>
      </c>
      <c r="I86" s="9" t="n">
        <v>743820</v>
      </c>
      <c r="J86" s="9" t="n">
        <v>743820</v>
      </c>
      <c r="K86" s="10" t="s">
        <v>97</v>
      </c>
      <c r="L86" s="10" t="s">
        <v>104</v>
      </c>
      <c r="M86" s="16" t="str">
        <f aca="false">IFERROR(VLOOKUP(N86,Словарь!$A$2:$B$15,2,FALSE()),"Нужно решение")</f>
        <v>Принято с актом</v>
      </c>
      <c r="N86" s="10" t="s">
        <v>138</v>
      </c>
      <c r="O86" s="10" t="s">
        <v>155</v>
      </c>
      <c r="P86" s="22" t="str">
        <f aca="true">IF(AND(OR(M86="Не начато",M86="В работе",M86="Нужно решение"),C86&lt;TODAY()),TODAY()-C86,"")</f>
        <v/>
      </c>
      <c r="Q86" s="10" t="s">
        <v>143</v>
      </c>
      <c r="R86" s="10" t="s">
        <v>323</v>
      </c>
      <c r="S86" s="10"/>
      <c r="T86" s="10" t="s">
        <v>145</v>
      </c>
      <c r="U86" s="10" t="n">
        <v>103</v>
      </c>
    </row>
    <row r="87" customFormat="false" ht="23.85" hidden="false" customHeight="false" outlineLevel="0" collapsed="false">
      <c r="A87" s="10" t="n">
        <v>86</v>
      </c>
      <c r="B87" s="10" t="s">
        <v>86</v>
      </c>
      <c r="C87" s="21" t="n">
        <v>46234</v>
      </c>
      <c r="D87" s="10" t="s">
        <v>358</v>
      </c>
      <c r="E87" s="10" t="s">
        <v>112</v>
      </c>
      <c r="F87" s="10" t="s">
        <v>359</v>
      </c>
      <c r="G87" s="10" t="s">
        <v>192</v>
      </c>
      <c r="H87" s="10"/>
      <c r="I87" s="9" t="n">
        <v>1121865</v>
      </c>
      <c r="J87" s="9" t="n">
        <v>1121865</v>
      </c>
      <c r="K87" s="10" t="s">
        <v>97</v>
      </c>
      <c r="L87" s="10" t="s">
        <v>104</v>
      </c>
      <c r="M87" s="16" t="str">
        <f aca="false">IFERROR(VLOOKUP(N87,Словарь!$A$2:$B$15,2,FALSE()),"Нужно решение")</f>
        <v>Принято с актом</v>
      </c>
      <c r="N87" s="10" t="s">
        <v>138</v>
      </c>
      <c r="O87" s="10" t="s">
        <v>155</v>
      </c>
      <c r="P87" s="22" t="str">
        <f aca="true">IF(AND(OR(M87="Не начато",M87="В работе",M87="Нужно решение"),C87&lt;TODAY()),TODAY()-C87,"")</f>
        <v/>
      </c>
      <c r="Q87" s="10" t="s">
        <v>143</v>
      </c>
      <c r="R87" s="10" t="s">
        <v>360</v>
      </c>
      <c r="S87" s="10"/>
      <c r="T87" s="10" t="s">
        <v>207</v>
      </c>
      <c r="U87" s="10" t="n">
        <v>102</v>
      </c>
    </row>
    <row r="88" customFormat="false" ht="35.05" hidden="false" customHeight="false" outlineLevel="0" collapsed="false">
      <c r="A88" s="10" t="n">
        <v>87</v>
      </c>
      <c r="B88" s="10" t="s">
        <v>86</v>
      </c>
      <c r="C88" s="21" t="n">
        <v>46234</v>
      </c>
      <c r="D88" s="10" t="s">
        <v>361</v>
      </c>
      <c r="E88" s="10" t="s">
        <v>114</v>
      </c>
      <c r="F88" s="10" t="s">
        <v>362</v>
      </c>
      <c r="G88" s="10" t="s">
        <v>183</v>
      </c>
      <c r="H88" s="10" t="s">
        <v>363</v>
      </c>
      <c r="I88" s="9" t="n">
        <v>120000</v>
      </c>
      <c r="J88" s="9" t="n">
        <v>124200</v>
      </c>
      <c r="K88" s="10" t="s">
        <v>97</v>
      </c>
      <c r="L88" s="10" t="s">
        <v>103</v>
      </c>
      <c r="M88" s="16" t="str">
        <f aca="false">IFERROR(VLOOKUP(N88,Словарь!$A$2:$B$15,2,FALSE()),"Нужно решение")</f>
        <v>Принято с актом</v>
      </c>
      <c r="N88" s="10" t="s">
        <v>138</v>
      </c>
      <c r="O88" s="10" t="s">
        <v>155</v>
      </c>
      <c r="P88" s="22" t="str">
        <f aca="true">IF(AND(OR(M88="Не начато",M88="В работе",M88="Нужно решение"),C88&lt;TODAY()),TODAY()-C88,"")</f>
        <v/>
      </c>
      <c r="Q88" s="10" t="s">
        <v>143</v>
      </c>
      <c r="R88" s="10" t="s">
        <v>364</v>
      </c>
      <c r="S88" s="10"/>
      <c r="T88" s="10" t="s">
        <v>145</v>
      </c>
      <c r="U88" s="10" t="n">
        <v>104</v>
      </c>
    </row>
    <row r="89" customFormat="false" ht="35.05" hidden="false" customHeight="false" outlineLevel="0" collapsed="false">
      <c r="A89" s="10" t="n">
        <v>88</v>
      </c>
      <c r="B89" s="10" t="s">
        <v>86</v>
      </c>
      <c r="C89" s="21" t="n">
        <v>46234</v>
      </c>
      <c r="D89" s="10" t="s">
        <v>285</v>
      </c>
      <c r="E89" s="10" t="s">
        <v>112</v>
      </c>
      <c r="F89" s="10" t="s">
        <v>365</v>
      </c>
      <c r="G89" s="10" t="s">
        <v>142</v>
      </c>
      <c r="H89" s="10" t="s">
        <v>366</v>
      </c>
      <c r="I89" s="9"/>
      <c r="J89" s="9"/>
      <c r="K89" s="10" t="s">
        <v>97</v>
      </c>
      <c r="L89" s="10" t="s">
        <v>103</v>
      </c>
      <c r="M89" s="16" t="str">
        <f aca="false">IFERROR(VLOOKUP(N89,Словарь!$A$2:$B$15,2,FALSE()),"Нужно решение")</f>
        <v>Принято с актом</v>
      </c>
      <c r="N89" s="10" t="s">
        <v>138</v>
      </c>
      <c r="O89" s="10" t="s">
        <v>139</v>
      </c>
      <c r="P89" s="22" t="str">
        <f aca="true">IF(AND(OR(M89="Не начато",M89="В работе",M89="Нужно решение"),C89&lt;TODAY()),TODAY()-C89,"")</f>
        <v/>
      </c>
      <c r="Q89" s="10" t="s">
        <v>143</v>
      </c>
      <c r="R89" s="10" t="s">
        <v>323</v>
      </c>
      <c r="S89" s="10"/>
      <c r="T89" s="10" t="s">
        <v>243</v>
      </c>
      <c r="U89" s="10" t="n">
        <v>105</v>
      </c>
    </row>
    <row r="90" customFormat="false" ht="23.85" hidden="false" customHeight="false" outlineLevel="0" collapsed="false">
      <c r="A90" s="10" t="n">
        <v>89</v>
      </c>
      <c r="B90" s="10" t="s">
        <v>86</v>
      </c>
      <c r="C90" s="21" t="n">
        <v>46234</v>
      </c>
      <c r="D90" s="10" t="s">
        <v>285</v>
      </c>
      <c r="E90" s="10" t="s">
        <v>112</v>
      </c>
      <c r="F90" s="10" t="s">
        <v>367</v>
      </c>
      <c r="G90" s="10" t="s">
        <v>188</v>
      </c>
      <c r="H90" s="10" t="s">
        <v>368</v>
      </c>
      <c r="I90" s="9" t="n">
        <v>87088.24</v>
      </c>
      <c r="J90" s="9" t="n">
        <v>87008.24</v>
      </c>
      <c r="K90" s="10" t="s">
        <v>97</v>
      </c>
      <c r="L90" s="10" t="s">
        <v>103</v>
      </c>
      <c r="M90" s="16" t="str">
        <f aca="false">IFERROR(VLOOKUP(N90,Словарь!$A$2:$B$15,2,FALSE()),"Нужно решение")</f>
        <v>Принято с актом</v>
      </c>
      <c r="N90" s="10" t="s">
        <v>138</v>
      </c>
      <c r="O90" s="10" t="s">
        <v>155</v>
      </c>
      <c r="P90" s="22" t="str">
        <f aca="true">IF(AND(OR(M90="Не начато",M90="В работе",M90="Нужно решение"),C90&lt;TODAY()),TODAY()-C90,"")</f>
        <v/>
      </c>
      <c r="Q90" s="10" t="s">
        <v>143</v>
      </c>
      <c r="R90" s="10" t="s">
        <v>323</v>
      </c>
      <c r="S90" s="10"/>
      <c r="T90" s="10" t="s">
        <v>145</v>
      </c>
      <c r="U90" s="10" t="n">
        <v>106</v>
      </c>
    </row>
    <row r="91" customFormat="false" ht="23.85" hidden="false" customHeight="false" outlineLevel="0" collapsed="false">
      <c r="A91" s="10" t="n">
        <v>90</v>
      </c>
      <c r="B91" s="10" t="s">
        <v>86</v>
      </c>
      <c r="C91" s="21" t="n">
        <v>46234</v>
      </c>
      <c r="D91" s="10" t="s">
        <v>369</v>
      </c>
      <c r="E91" s="10" t="s">
        <v>112</v>
      </c>
      <c r="F91" s="10" t="s">
        <v>370</v>
      </c>
      <c r="G91" s="10" t="s">
        <v>245</v>
      </c>
      <c r="H91" s="10"/>
      <c r="I91" s="9" t="n">
        <v>1121426</v>
      </c>
      <c r="J91" s="9" t="n">
        <v>1121426</v>
      </c>
      <c r="K91" s="10" t="s">
        <v>97</v>
      </c>
      <c r="L91" s="10" t="s">
        <v>103</v>
      </c>
      <c r="M91" s="16" t="str">
        <f aca="false">IFERROR(VLOOKUP(N91,Словарь!$A$2:$B$15,2,FALSE()),"Нужно решение")</f>
        <v>Принято с актом</v>
      </c>
      <c r="N91" s="10" t="s">
        <v>138</v>
      </c>
      <c r="O91" s="10" t="s">
        <v>155</v>
      </c>
      <c r="P91" s="22" t="str">
        <f aca="true">IF(AND(OR(M91="Не начато",M91="В работе",M91="Нужно решение"),C91&lt;TODAY()),TODAY()-C91,"")</f>
        <v/>
      </c>
      <c r="Q91" s="10" t="s">
        <v>143</v>
      </c>
      <c r="R91" s="10" t="s">
        <v>323</v>
      </c>
      <c r="S91" s="10"/>
      <c r="T91" s="10" t="s">
        <v>145</v>
      </c>
      <c r="U91" s="10" t="n">
        <v>107</v>
      </c>
    </row>
    <row r="92" customFormat="false" ht="23.85" hidden="false" customHeight="false" outlineLevel="0" collapsed="false">
      <c r="A92" s="10" t="n">
        <v>91</v>
      </c>
      <c r="B92" s="10" t="s">
        <v>86</v>
      </c>
      <c r="C92" s="21" t="n">
        <v>46234</v>
      </c>
      <c r="D92" s="10" t="s">
        <v>371</v>
      </c>
      <c r="E92" s="10" t="s">
        <v>112</v>
      </c>
      <c r="F92" s="10" t="s">
        <v>161</v>
      </c>
      <c r="G92" s="10" t="s">
        <v>162</v>
      </c>
      <c r="H92" s="10" t="s">
        <v>372</v>
      </c>
      <c r="I92" s="9"/>
      <c r="J92" s="9"/>
      <c r="K92" s="10" t="s">
        <v>96</v>
      </c>
      <c r="L92" s="10" t="s">
        <v>108</v>
      </c>
      <c r="M92" s="16" t="str">
        <f aca="false">IFERROR(VLOOKUP(N92,Словарь!$A$2:$B$15,2,FALSE()),"Нужно решение")</f>
        <v>Выполнено, ждёт акта</v>
      </c>
      <c r="N92" s="10" t="s">
        <v>150</v>
      </c>
      <c r="O92" s="10" t="s">
        <v>151</v>
      </c>
      <c r="P92" s="22" t="str">
        <f aca="true">IF(AND(OR(M92="Не начато",M92="В работе",M92="Нужно решение"),C92&lt;TODAY()),TODAY()-C92,"")</f>
        <v/>
      </c>
      <c r="Q92" s="10" t="s">
        <v>143</v>
      </c>
      <c r="R92" s="10" t="s">
        <v>323</v>
      </c>
      <c r="S92" s="10"/>
      <c r="T92" s="10" t="s">
        <v>152</v>
      </c>
      <c r="U92" s="10" t="n">
        <v>108</v>
      </c>
    </row>
    <row r="93" customFormat="false" ht="23.85" hidden="false" customHeight="false" outlineLevel="0" collapsed="false">
      <c r="A93" s="10" t="n">
        <v>92</v>
      </c>
      <c r="B93" s="10" t="s">
        <v>86</v>
      </c>
      <c r="C93" s="21" t="n">
        <v>46234</v>
      </c>
      <c r="D93" s="10" t="s">
        <v>153</v>
      </c>
      <c r="E93" s="10" t="s">
        <v>112</v>
      </c>
      <c r="F93" s="10" t="s">
        <v>373</v>
      </c>
      <c r="G93" s="10" t="s">
        <v>183</v>
      </c>
      <c r="H93" s="10" t="s">
        <v>374</v>
      </c>
      <c r="I93" s="9" t="n">
        <v>40000</v>
      </c>
      <c r="J93" s="9" t="n">
        <v>37581</v>
      </c>
      <c r="K93" s="10" t="s">
        <v>97</v>
      </c>
      <c r="L93" s="10" t="s">
        <v>104</v>
      </c>
      <c r="M93" s="16" t="str">
        <f aca="false">IFERROR(VLOOKUP(N93,Словарь!$A$2:$B$15,2,FALSE()),"Нужно решение")</f>
        <v>Принято с актом</v>
      </c>
      <c r="N93" s="10" t="s">
        <v>138</v>
      </c>
      <c r="O93" s="10" t="s">
        <v>155</v>
      </c>
      <c r="P93" s="22" t="str">
        <f aca="true">IF(AND(OR(M93="Не начато",M93="В работе",M93="Нужно решение"),C93&lt;TODAY()),TODAY()-C93,"")</f>
        <v/>
      </c>
      <c r="Q93" s="10" t="s">
        <v>143</v>
      </c>
      <c r="R93" s="10" t="s">
        <v>323</v>
      </c>
      <c r="S93" s="10"/>
      <c r="T93" s="10" t="s">
        <v>145</v>
      </c>
      <c r="U93" s="10" t="n">
        <v>109</v>
      </c>
    </row>
    <row r="94" customFormat="false" ht="23.85" hidden="false" customHeight="false" outlineLevel="0" collapsed="false">
      <c r="A94" s="10" t="n">
        <v>93</v>
      </c>
      <c r="B94" s="10" t="s">
        <v>86</v>
      </c>
      <c r="C94" s="21" t="n">
        <v>46234</v>
      </c>
      <c r="D94" s="10" t="s">
        <v>153</v>
      </c>
      <c r="E94" s="10" t="s">
        <v>112</v>
      </c>
      <c r="F94" s="10" t="s">
        <v>290</v>
      </c>
      <c r="G94" s="10" t="s">
        <v>183</v>
      </c>
      <c r="H94" s="10"/>
      <c r="I94" s="9" t="n">
        <v>208007.02</v>
      </c>
      <c r="J94" s="9" t="n">
        <v>225600</v>
      </c>
      <c r="K94" s="10" t="s">
        <v>97</v>
      </c>
      <c r="L94" s="10" t="s">
        <v>104</v>
      </c>
      <c r="M94" s="16" t="str">
        <f aca="false">IFERROR(VLOOKUP(N94,Словарь!$A$2:$B$15,2,FALSE()),"Нужно решение")</f>
        <v>Принято с актом</v>
      </c>
      <c r="N94" s="10" t="s">
        <v>138</v>
      </c>
      <c r="O94" s="10" t="s">
        <v>155</v>
      </c>
      <c r="P94" s="22" t="str">
        <f aca="true">IF(AND(OR(M94="Не начато",M94="В работе",M94="Нужно решение"),C94&lt;TODAY()),TODAY()-C94,"")</f>
        <v/>
      </c>
      <c r="Q94" s="10" t="s">
        <v>143</v>
      </c>
      <c r="R94" s="10" t="s">
        <v>323</v>
      </c>
      <c r="S94" s="10"/>
      <c r="T94" s="10" t="s">
        <v>145</v>
      </c>
      <c r="U94" s="10" t="n">
        <v>110</v>
      </c>
    </row>
    <row r="95" customFormat="false" ht="23.85" hidden="false" customHeight="false" outlineLevel="0" collapsed="false">
      <c r="A95" s="10" t="n">
        <v>94</v>
      </c>
      <c r="B95" s="10" t="s">
        <v>86</v>
      </c>
      <c r="C95" s="21" t="n">
        <v>46234</v>
      </c>
      <c r="D95" s="10" t="s">
        <v>232</v>
      </c>
      <c r="E95" s="10" t="s">
        <v>112</v>
      </c>
      <c r="F95" s="10" t="s">
        <v>375</v>
      </c>
      <c r="G95" s="10" t="s">
        <v>136</v>
      </c>
      <c r="H95" s="10" t="s">
        <v>376</v>
      </c>
      <c r="I95" s="9"/>
      <c r="J95" s="9"/>
      <c r="K95" s="10" t="s">
        <v>95</v>
      </c>
      <c r="L95" s="10" t="s">
        <v>100</v>
      </c>
      <c r="M95" s="16" t="str">
        <f aca="false">IFERROR(VLOOKUP(N95,Словарь!$A$2:$B$15,2,FALSE()),"Нужно решение")</f>
        <v>Выполнено, ждёт акта</v>
      </c>
      <c r="N95" s="10" t="s">
        <v>150</v>
      </c>
      <c r="O95" s="10" t="s">
        <v>377</v>
      </c>
      <c r="P95" s="22" t="str">
        <f aca="true">IF(AND(OR(M95="Не начато",M95="В работе",M95="Нужно решение"),C95&lt;TODAY()),TODAY()-C95,"")</f>
        <v/>
      </c>
      <c r="Q95" s="10" t="s">
        <v>143</v>
      </c>
      <c r="R95" s="10" t="s">
        <v>323</v>
      </c>
      <c r="S95" s="10"/>
      <c r="T95" s="10" t="s">
        <v>152</v>
      </c>
      <c r="U95" s="10" t="n">
        <v>111</v>
      </c>
    </row>
    <row r="96" customFormat="false" ht="46.25" hidden="false" customHeight="false" outlineLevel="0" collapsed="false">
      <c r="A96" s="10" t="n">
        <v>95</v>
      </c>
      <c r="B96" s="10" t="s">
        <v>86</v>
      </c>
      <c r="C96" s="21" t="n">
        <v>46234</v>
      </c>
      <c r="D96" s="10" t="s">
        <v>301</v>
      </c>
      <c r="E96" s="10" t="s">
        <v>112</v>
      </c>
      <c r="F96" s="10" t="s">
        <v>378</v>
      </c>
      <c r="G96" s="10" t="s">
        <v>174</v>
      </c>
      <c r="H96" s="10" t="s">
        <v>379</v>
      </c>
      <c r="I96" s="9" t="n">
        <v>200000</v>
      </c>
      <c r="J96" s="9"/>
      <c r="K96" s="10" t="s">
        <v>96</v>
      </c>
      <c r="L96" s="10" t="s">
        <v>108</v>
      </c>
      <c r="M96" s="16" t="str">
        <f aca="false">IFERROR(VLOOKUP(N96,Словарь!$A$2:$B$15,2,FALSE()),"Нужно решение")</f>
        <v>Выполнено, ждёт акта</v>
      </c>
      <c r="N96" s="10" t="s">
        <v>150</v>
      </c>
      <c r="O96" s="10" t="s">
        <v>151</v>
      </c>
      <c r="P96" s="22" t="str">
        <f aca="true">IF(AND(OR(M96="Не начато",M96="В работе",M96="Нужно решение"),C96&lt;TODAY()),TODAY()-C96,"")</f>
        <v/>
      </c>
      <c r="Q96" s="10" t="s">
        <v>143</v>
      </c>
      <c r="R96" s="10" t="s">
        <v>323</v>
      </c>
      <c r="S96" s="10"/>
      <c r="T96" s="10" t="s">
        <v>152</v>
      </c>
      <c r="U96" s="10" t="n">
        <v>112</v>
      </c>
    </row>
    <row r="97" customFormat="false" ht="23.85" hidden="false" customHeight="false" outlineLevel="0" collapsed="false">
      <c r="A97" s="10" t="n">
        <v>96</v>
      </c>
      <c r="B97" s="10" t="s">
        <v>86</v>
      </c>
      <c r="C97" s="21" t="n">
        <v>46234</v>
      </c>
      <c r="D97" s="10" t="s">
        <v>380</v>
      </c>
      <c r="E97" s="10" t="s">
        <v>112</v>
      </c>
      <c r="F97" s="10" t="s">
        <v>381</v>
      </c>
      <c r="G97" s="10" t="s">
        <v>183</v>
      </c>
      <c r="H97" s="10" t="s">
        <v>382</v>
      </c>
      <c r="I97" s="9" t="n">
        <v>102000</v>
      </c>
      <c r="J97" s="9" t="n">
        <v>136671.55</v>
      </c>
      <c r="K97" s="10" t="s">
        <v>97</v>
      </c>
      <c r="L97" s="10" t="s">
        <v>101</v>
      </c>
      <c r="M97" s="16" t="str">
        <f aca="false">IFERROR(VLOOKUP(N97,Словарь!$A$2:$B$15,2,FALSE()),"Нужно решение")</f>
        <v>Принято с актом</v>
      </c>
      <c r="N97" s="10" t="s">
        <v>138</v>
      </c>
      <c r="O97" s="10" t="s">
        <v>155</v>
      </c>
      <c r="P97" s="22" t="str">
        <f aca="true">IF(AND(OR(M97="Не начато",M97="В работе",M97="Нужно решение"),C97&lt;TODAY()),TODAY()-C97,"")</f>
        <v/>
      </c>
      <c r="Q97" s="10" t="s">
        <v>143</v>
      </c>
      <c r="R97" s="10" t="s">
        <v>323</v>
      </c>
      <c r="S97" s="10"/>
      <c r="T97" s="10" t="s">
        <v>145</v>
      </c>
      <c r="U97" s="10" t="n">
        <v>113</v>
      </c>
    </row>
    <row r="98" customFormat="false" ht="23.85" hidden="false" customHeight="false" outlineLevel="0" collapsed="false">
      <c r="A98" s="10" t="n">
        <v>97</v>
      </c>
      <c r="B98" s="10" t="s">
        <v>86</v>
      </c>
      <c r="C98" s="21" t="n">
        <v>46234</v>
      </c>
      <c r="D98" s="10" t="s">
        <v>383</v>
      </c>
      <c r="E98" s="10" t="s">
        <v>112</v>
      </c>
      <c r="F98" s="10" t="s">
        <v>384</v>
      </c>
      <c r="G98" s="10" t="s">
        <v>162</v>
      </c>
      <c r="H98" s="10" t="s">
        <v>385</v>
      </c>
      <c r="I98" s="9"/>
      <c r="J98" s="9"/>
      <c r="K98" s="10" t="s">
        <v>96</v>
      </c>
      <c r="L98" s="10" t="s">
        <v>108</v>
      </c>
      <c r="M98" s="16" t="str">
        <f aca="false">IFERROR(VLOOKUP(N98,Словарь!$A$2:$B$15,2,FALSE()),"Нужно решение")</f>
        <v>Выполнено, ждёт акта</v>
      </c>
      <c r="N98" s="10" t="s">
        <v>150</v>
      </c>
      <c r="O98" s="10" t="s">
        <v>151</v>
      </c>
      <c r="P98" s="22" t="str">
        <f aca="true">IF(AND(OR(M98="Не начато",M98="В работе",M98="Нужно решение"),C98&lt;TODAY()),TODAY()-C98,"")</f>
        <v/>
      </c>
      <c r="Q98" s="10" t="s">
        <v>238</v>
      </c>
      <c r="R98" s="10" t="s">
        <v>323</v>
      </c>
      <c r="S98" s="10"/>
      <c r="T98" s="10" t="s">
        <v>239</v>
      </c>
      <c r="U98" s="10" t="n">
        <v>114</v>
      </c>
    </row>
    <row r="99" customFormat="false" ht="23.85" hidden="false" customHeight="false" outlineLevel="0" collapsed="false">
      <c r="A99" s="10" t="n">
        <v>98</v>
      </c>
      <c r="B99" s="10" t="s">
        <v>86</v>
      </c>
      <c r="C99" s="21" t="n">
        <v>46234</v>
      </c>
      <c r="D99" s="10" t="s">
        <v>386</v>
      </c>
      <c r="E99" s="10" t="s">
        <v>112</v>
      </c>
      <c r="F99" s="10" t="s">
        <v>387</v>
      </c>
      <c r="G99" s="10" t="s">
        <v>188</v>
      </c>
      <c r="H99" s="10" t="s">
        <v>388</v>
      </c>
      <c r="I99" s="9" t="n">
        <v>100000</v>
      </c>
      <c r="J99" s="9"/>
      <c r="K99" s="10" t="s">
        <v>96</v>
      </c>
      <c r="L99" s="10" t="s">
        <v>108</v>
      </c>
      <c r="M99" s="16" t="str">
        <f aca="false">IFERROR(VLOOKUP(N99,Словарь!$A$2:$B$15,2,FALSE()),"Нужно решение")</f>
        <v>Выполнено, ждёт акта</v>
      </c>
      <c r="N99" s="10" t="s">
        <v>150</v>
      </c>
      <c r="O99" s="10" t="s">
        <v>151</v>
      </c>
      <c r="P99" s="22" t="str">
        <f aca="true">IF(AND(OR(M99="Не начато",M99="В работе",M99="Нужно решение"),C99&lt;TODAY()),TODAY()-C99,"")</f>
        <v/>
      </c>
      <c r="Q99" s="10" t="s">
        <v>143</v>
      </c>
      <c r="R99" s="10" t="s">
        <v>323</v>
      </c>
      <c r="S99" s="10"/>
      <c r="T99" s="10" t="s">
        <v>152</v>
      </c>
      <c r="U99" s="10" t="n">
        <v>115</v>
      </c>
    </row>
    <row r="100" customFormat="false" ht="23.85" hidden="false" customHeight="false" outlineLevel="0" collapsed="false">
      <c r="A100" s="10" t="n">
        <v>99</v>
      </c>
      <c r="B100" s="10" t="s">
        <v>86</v>
      </c>
      <c r="C100" s="21" t="n">
        <v>46234</v>
      </c>
      <c r="D100" s="10" t="s">
        <v>386</v>
      </c>
      <c r="E100" s="10" t="s">
        <v>112</v>
      </c>
      <c r="F100" s="10" t="s">
        <v>389</v>
      </c>
      <c r="G100" s="10" t="s">
        <v>245</v>
      </c>
      <c r="H100" s="10"/>
      <c r="I100" s="9" t="n">
        <v>10000</v>
      </c>
      <c r="J100" s="9" t="n">
        <v>12521.35</v>
      </c>
      <c r="K100" s="10" t="s">
        <v>96</v>
      </c>
      <c r="L100" s="10" t="s">
        <v>108</v>
      </c>
      <c r="M100" s="16" t="str">
        <f aca="false">IFERROR(VLOOKUP(N100,Словарь!$A$2:$B$15,2,FALSE()),"Нужно решение")</f>
        <v>Принято с актом</v>
      </c>
      <c r="N100" s="10" t="s">
        <v>138</v>
      </c>
      <c r="O100" s="10" t="s">
        <v>155</v>
      </c>
      <c r="P100" s="22" t="str">
        <f aca="true">IF(AND(OR(M100="Не начато",M100="В работе",M100="Нужно решение"),C100&lt;TODAY()),TODAY()-C100,"")</f>
        <v/>
      </c>
      <c r="Q100" s="10" t="s">
        <v>143</v>
      </c>
      <c r="R100" s="10" t="s">
        <v>323</v>
      </c>
      <c r="S100" s="10"/>
      <c r="T100" s="10" t="s">
        <v>145</v>
      </c>
      <c r="U100" s="10" t="n">
        <v>116</v>
      </c>
    </row>
    <row r="101" customFormat="false" ht="23.85" hidden="false" customHeight="false" outlineLevel="0" collapsed="false">
      <c r="A101" s="10" t="n">
        <v>100</v>
      </c>
      <c r="B101" s="10" t="s">
        <v>86</v>
      </c>
      <c r="C101" s="21" t="n">
        <v>46234</v>
      </c>
      <c r="D101" s="10" t="s">
        <v>160</v>
      </c>
      <c r="E101" s="10" t="s">
        <v>113</v>
      </c>
      <c r="F101" s="10" t="s">
        <v>390</v>
      </c>
      <c r="G101" s="10" t="s">
        <v>245</v>
      </c>
      <c r="H101" s="10"/>
      <c r="I101" s="9" t="n">
        <v>40000</v>
      </c>
      <c r="J101" s="9"/>
      <c r="K101" s="10" t="s">
        <v>96</v>
      </c>
      <c r="L101" s="10" t="s">
        <v>101</v>
      </c>
      <c r="M101" s="16" t="str">
        <f aca="false">IFERROR(VLOOKUP(N101,Словарь!$A$2:$B$15,2,FALSE()),"Нужно решение")</f>
        <v>Выполнено, ждёт акта</v>
      </c>
      <c r="N101" s="10" t="s">
        <v>150</v>
      </c>
      <c r="O101" s="10" t="s">
        <v>171</v>
      </c>
      <c r="P101" s="22" t="str">
        <f aca="true">IF(AND(OR(M101="Не начато",M101="В работе",M101="Нужно решение"),C101&lt;TODAY()),TODAY()-C101,"")</f>
        <v/>
      </c>
      <c r="Q101" s="10" t="s">
        <v>143</v>
      </c>
      <c r="R101" s="10" t="s">
        <v>323</v>
      </c>
      <c r="S101" s="10"/>
      <c r="T101" s="10" t="s">
        <v>152</v>
      </c>
      <c r="U101" s="10" t="n">
        <v>117</v>
      </c>
    </row>
    <row r="102" customFormat="false" ht="23.85" hidden="false" customHeight="false" outlineLevel="0" collapsed="false">
      <c r="A102" s="10" t="n">
        <v>101</v>
      </c>
      <c r="B102" s="10" t="s">
        <v>86</v>
      </c>
      <c r="C102" s="21" t="n">
        <v>46234</v>
      </c>
      <c r="D102" s="10" t="s">
        <v>391</v>
      </c>
      <c r="E102" s="10" t="s">
        <v>112</v>
      </c>
      <c r="F102" s="10" t="s">
        <v>392</v>
      </c>
      <c r="G102" s="10" t="s">
        <v>142</v>
      </c>
      <c r="H102" s="10"/>
      <c r="I102" s="9" t="n">
        <v>291277.54</v>
      </c>
      <c r="J102" s="9" t="n">
        <v>291277.54</v>
      </c>
      <c r="K102" s="10" t="s">
        <v>97</v>
      </c>
      <c r="L102" s="10" t="s">
        <v>100</v>
      </c>
      <c r="M102" s="16" t="str">
        <f aca="false">IFERROR(VLOOKUP(N102,Словарь!$A$2:$B$15,2,FALSE()),"Нужно решение")</f>
        <v>Принято с актом</v>
      </c>
      <c r="N102" s="10" t="s">
        <v>138</v>
      </c>
      <c r="O102" s="10" t="s">
        <v>155</v>
      </c>
      <c r="P102" s="22" t="str">
        <f aca="true">IF(AND(OR(M102="Не начато",M102="В работе",M102="Нужно решение"),C102&lt;TODAY()),TODAY()-C102,"")</f>
        <v/>
      </c>
      <c r="Q102" s="10" t="s">
        <v>143</v>
      </c>
      <c r="R102" s="10" t="s">
        <v>323</v>
      </c>
      <c r="S102" s="10"/>
      <c r="T102" s="10" t="s">
        <v>145</v>
      </c>
      <c r="U102" s="10" t="n">
        <v>120</v>
      </c>
    </row>
    <row r="103" customFormat="false" ht="23.85" hidden="false" customHeight="false" outlineLevel="0" collapsed="false">
      <c r="A103" s="10" t="n">
        <v>102</v>
      </c>
      <c r="B103" s="10" t="s">
        <v>86</v>
      </c>
      <c r="C103" s="21" t="n">
        <v>46234</v>
      </c>
      <c r="D103" s="10" t="s">
        <v>393</v>
      </c>
      <c r="E103" s="10" t="s">
        <v>112</v>
      </c>
      <c r="F103" s="10" t="s">
        <v>394</v>
      </c>
      <c r="G103" s="10" t="s">
        <v>192</v>
      </c>
      <c r="H103" s="10"/>
      <c r="I103" s="9" t="n">
        <v>147001</v>
      </c>
      <c r="J103" s="9" t="n">
        <v>147001</v>
      </c>
      <c r="K103" s="10" t="s">
        <v>97</v>
      </c>
      <c r="L103" s="10" t="s">
        <v>100</v>
      </c>
      <c r="M103" s="16" t="str">
        <f aca="false">IFERROR(VLOOKUP(N103,Словарь!$A$2:$B$15,2,FALSE()),"Нужно решение")</f>
        <v>Принято с актом</v>
      </c>
      <c r="N103" s="10" t="s">
        <v>138</v>
      </c>
      <c r="O103" s="10" t="s">
        <v>155</v>
      </c>
      <c r="P103" s="22" t="str">
        <f aca="true">IF(AND(OR(M103="Не начато",M103="В работе",M103="Нужно решение"),C103&lt;TODAY()),TODAY()-C103,"")</f>
        <v/>
      </c>
      <c r="Q103" s="10" t="s">
        <v>143</v>
      </c>
      <c r="R103" s="10" t="s">
        <v>323</v>
      </c>
      <c r="S103" s="10"/>
      <c r="T103" s="10" t="s">
        <v>145</v>
      </c>
      <c r="U103" s="10" t="n">
        <v>121</v>
      </c>
    </row>
    <row r="104" customFormat="false" ht="23.85" hidden="false" customHeight="false" outlineLevel="0" collapsed="false">
      <c r="A104" s="10" t="n">
        <v>103</v>
      </c>
      <c r="B104" s="10" t="s">
        <v>86</v>
      </c>
      <c r="C104" s="21" t="n">
        <v>46234</v>
      </c>
      <c r="D104" s="10" t="s">
        <v>167</v>
      </c>
      <c r="E104" s="10" t="s">
        <v>112</v>
      </c>
      <c r="F104" s="10" t="s">
        <v>395</v>
      </c>
      <c r="G104" s="10" t="s">
        <v>158</v>
      </c>
      <c r="H104" s="10" t="s">
        <v>396</v>
      </c>
      <c r="I104" s="9" t="n">
        <v>970000</v>
      </c>
      <c r="J104" s="9"/>
      <c r="K104" s="10" t="s">
        <v>95</v>
      </c>
      <c r="L104" s="10" t="s">
        <v>100</v>
      </c>
      <c r="M104" s="16" t="str">
        <f aca="false">IFERROR(VLOOKUP(N104,Словарь!$A$2:$B$15,2,FALSE()),"Нужно решение")</f>
        <v>Выполнено, ждёт акта</v>
      </c>
      <c r="N104" s="10" t="s">
        <v>150</v>
      </c>
      <c r="O104" s="10"/>
      <c r="P104" s="22" t="str">
        <f aca="true">IF(AND(OR(M104="Не начато",M104="В работе",M104="Нужно решение"),C104&lt;TODAY()),TODAY()-C104,"")</f>
        <v/>
      </c>
      <c r="Q104" s="10" t="s">
        <v>13</v>
      </c>
      <c r="R104" s="10" t="s">
        <v>323</v>
      </c>
      <c r="S104" s="10" t="s">
        <v>397</v>
      </c>
      <c r="T104" s="10" t="s">
        <v>398</v>
      </c>
      <c r="U104" s="10" t="n">
        <v>122</v>
      </c>
    </row>
    <row r="105" customFormat="false" ht="23.85" hidden="false" customHeight="false" outlineLevel="0" collapsed="false">
      <c r="A105" s="10" t="n">
        <v>104</v>
      </c>
      <c r="B105" s="10" t="s">
        <v>86</v>
      </c>
      <c r="C105" s="21" t="n">
        <v>46234</v>
      </c>
      <c r="D105" s="10" t="s">
        <v>399</v>
      </c>
      <c r="E105" s="10" t="s">
        <v>112</v>
      </c>
      <c r="F105" s="10" t="s">
        <v>400</v>
      </c>
      <c r="G105" s="10" t="s">
        <v>183</v>
      </c>
      <c r="H105" s="10" t="s">
        <v>401</v>
      </c>
      <c r="I105" s="9" t="n">
        <v>10000</v>
      </c>
      <c r="J105" s="9" t="n">
        <v>8000</v>
      </c>
      <c r="K105" s="10" t="s">
        <v>97</v>
      </c>
      <c r="L105" s="10" t="s">
        <v>100</v>
      </c>
      <c r="M105" s="16" t="str">
        <f aca="false">IFERROR(VLOOKUP(N105,Словарь!$A$2:$B$15,2,FALSE()),"Нужно решение")</f>
        <v>Принято с актом</v>
      </c>
      <c r="N105" s="10" t="s">
        <v>138</v>
      </c>
      <c r="O105" s="10" t="s">
        <v>155</v>
      </c>
      <c r="P105" s="22" t="str">
        <f aca="true">IF(AND(OR(M105="Не начато",M105="В работе",M105="Нужно решение"),C105&lt;TODAY()),TODAY()-C105,"")</f>
        <v/>
      </c>
      <c r="Q105" s="10" t="s">
        <v>143</v>
      </c>
      <c r="R105" s="10" t="s">
        <v>364</v>
      </c>
      <c r="S105" s="10" t="s">
        <v>402</v>
      </c>
      <c r="T105" s="10" t="s">
        <v>207</v>
      </c>
      <c r="U105" s="10" t="n">
        <v>118</v>
      </c>
    </row>
    <row r="106" customFormat="false" ht="23.85" hidden="false" customHeight="false" outlineLevel="0" collapsed="false">
      <c r="A106" s="10" t="n">
        <v>105</v>
      </c>
      <c r="B106" s="10" t="s">
        <v>86</v>
      </c>
      <c r="C106" s="21" t="n">
        <v>46234</v>
      </c>
      <c r="D106" s="10" t="s">
        <v>403</v>
      </c>
      <c r="E106" s="10" t="s">
        <v>113</v>
      </c>
      <c r="F106" s="10" t="s">
        <v>404</v>
      </c>
      <c r="G106" s="10" t="s">
        <v>158</v>
      </c>
      <c r="H106" s="10"/>
      <c r="I106" s="9" t="n">
        <v>509477.95</v>
      </c>
      <c r="J106" s="9" t="n">
        <v>509477.95</v>
      </c>
      <c r="K106" s="10" t="s">
        <v>97</v>
      </c>
      <c r="L106" s="10" t="s">
        <v>100</v>
      </c>
      <c r="M106" s="16" t="str">
        <f aca="false">IFERROR(VLOOKUP(N106,Словарь!$A$2:$B$15,2,FALSE()),"Нужно решение")</f>
        <v>Принято с актом</v>
      </c>
      <c r="N106" s="10" t="s">
        <v>138</v>
      </c>
      <c r="O106" s="10" t="s">
        <v>155</v>
      </c>
      <c r="P106" s="22" t="str">
        <f aca="true">IF(AND(OR(M106="Не начато",M106="В работе",M106="Нужно решение"),C106&lt;TODAY()),TODAY()-C106,"")</f>
        <v/>
      </c>
      <c r="Q106" s="10" t="s">
        <v>143</v>
      </c>
      <c r="R106" s="10" t="s">
        <v>323</v>
      </c>
      <c r="S106" s="10"/>
      <c r="T106" s="10" t="s">
        <v>145</v>
      </c>
      <c r="U106" s="10" t="n">
        <v>123</v>
      </c>
    </row>
    <row r="107" customFormat="false" ht="23.85" hidden="false" customHeight="false" outlineLevel="0" collapsed="false">
      <c r="A107" s="10" t="n">
        <v>106</v>
      </c>
      <c r="B107" s="10" t="s">
        <v>86</v>
      </c>
      <c r="C107" s="21" t="n">
        <v>46234</v>
      </c>
      <c r="D107" s="10" t="s">
        <v>405</v>
      </c>
      <c r="E107" s="10" t="s">
        <v>112</v>
      </c>
      <c r="F107" s="10" t="s">
        <v>406</v>
      </c>
      <c r="G107" s="10" t="s">
        <v>136</v>
      </c>
      <c r="H107" s="10"/>
      <c r="I107" s="9" t="n">
        <v>360000</v>
      </c>
      <c r="J107" s="9" t="n">
        <v>396305.99</v>
      </c>
      <c r="K107" s="10" t="s">
        <v>97</v>
      </c>
      <c r="L107" s="10" t="s">
        <v>100</v>
      </c>
      <c r="M107" s="16" t="str">
        <f aca="false">IFERROR(VLOOKUP(N107,Словарь!$A$2:$B$15,2,FALSE()),"Нужно решение")</f>
        <v>Принято с актом</v>
      </c>
      <c r="N107" s="10" t="s">
        <v>138</v>
      </c>
      <c r="O107" s="10" t="s">
        <v>155</v>
      </c>
      <c r="P107" s="22" t="str">
        <f aca="true">IF(AND(OR(M107="Не начато",M107="В работе",M107="Нужно решение"),C107&lt;TODAY()),TODAY()-C107,"")</f>
        <v/>
      </c>
      <c r="Q107" s="10" t="s">
        <v>143</v>
      </c>
      <c r="R107" s="10" t="s">
        <v>323</v>
      </c>
      <c r="S107" s="10"/>
      <c r="T107" s="10" t="s">
        <v>145</v>
      </c>
      <c r="U107" s="10" t="n">
        <v>119</v>
      </c>
    </row>
    <row r="108" customFormat="false" ht="23.85" hidden="false" customHeight="false" outlineLevel="0" collapsed="false">
      <c r="A108" s="10" t="n">
        <v>107</v>
      </c>
      <c r="B108" s="10" t="s">
        <v>86</v>
      </c>
      <c r="C108" s="21" t="n">
        <v>46234</v>
      </c>
      <c r="D108" s="10" t="s">
        <v>407</v>
      </c>
      <c r="E108" s="10" t="s">
        <v>113</v>
      </c>
      <c r="F108" s="10" t="s">
        <v>408</v>
      </c>
      <c r="G108" s="10" t="s">
        <v>142</v>
      </c>
      <c r="H108" s="10" t="s">
        <v>409</v>
      </c>
      <c r="I108" s="9"/>
      <c r="J108" s="9"/>
      <c r="K108" s="10" t="s">
        <v>96</v>
      </c>
      <c r="L108" s="10" t="s">
        <v>101</v>
      </c>
      <c r="M108" s="16" t="str">
        <f aca="false">IFERROR(VLOOKUP(N108,Словарь!$A$2:$B$15,2,FALSE()),"Нужно решение")</f>
        <v>Выполнено, ждёт акта</v>
      </c>
      <c r="N108" s="10" t="s">
        <v>150</v>
      </c>
      <c r="O108" s="10" t="s">
        <v>151</v>
      </c>
      <c r="P108" s="22" t="str">
        <f aca="true">IF(AND(OR(M108="Не начато",M108="В работе",M108="Нужно решение"),C108&lt;TODAY()),TODAY()-C108,"")</f>
        <v/>
      </c>
      <c r="Q108" s="10" t="s">
        <v>13</v>
      </c>
      <c r="R108" s="10" t="s">
        <v>323</v>
      </c>
      <c r="S108" s="10" t="s">
        <v>397</v>
      </c>
      <c r="T108" s="10" t="s">
        <v>410</v>
      </c>
      <c r="U108" s="10" t="n">
        <v>124</v>
      </c>
    </row>
    <row r="109" customFormat="false" ht="23.85" hidden="false" customHeight="false" outlineLevel="0" collapsed="false">
      <c r="A109" s="10" t="n">
        <v>108</v>
      </c>
      <c r="B109" s="10" t="s">
        <v>86</v>
      </c>
      <c r="C109" s="21" t="n">
        <v>46234</v>
      </c>
      <c r="D109" s="10" t="s">
        <v>411</v>
      </c>
      <c r="E109" s="10" t="s">
        <v>112</v>
      </c>
      <c r="F109" s="10" t="s">
        <v>280</v>
      </c>
      <c r="G109" s="10" t="s">
        <v>142</v>
      </c>
      <c r="H109" s="10" t="s">
        <v>412</v>
      </c>
      <c r="I109" s="9" t="n">
        <v>204009</v>
      </c>
      <c r="J109" s="9" t="n">
        <v>318310.45</v>
      </c>
      <c r="K109" s="10" t="s">
        <v>97</v>
      </c>
      <c r="L109" s="10" t="s">
        <v>100</v>
      </c>
      <c r="M109" s="16" t="str">
        <f aca="false">IFERROR(VLOOKUP(N109,Словарь!$A$2:$B$15,2,FALSE()),"Нужно решение")</f>
        <v>Принято с актом</v>
      </c>
      <c r="N109" s="10" t="s">
        <v>138</v>
      </c>
      <c r="O109" s="10" t="s">
        <v>155</v>
      </c>
      <c r="P109" s="22" t="str">
        <f aca="true">IF(AND(OR(M109="Не начато",M109="В работе",M109="Нужно решение"),C109&lt;TODAY()),TODAY()-C109,"")</f>
        <v/>
      </c>
      <c r="Q109" s="10" t="s">
        <v>143</v>
      </c>
      <c r="R109" s="10" t="s">
        <v>323</v>
      </c>
      <c r="S109" s="10"/>
      <c r="T109" s="10" t="s">
        <v>145</v>
      </c>
      <c r="U109" s="10" t="n">
        <v>125</v>
      </c>
    </row>
    <row r="110" customFormat="false" ht="23.85" hidden="false" customHeight="false" outlineLevel="0" collapsed="false">
      <c r="A110" s="10" t="n">
        <v>109</v>
      </c>
      <c r="B110" s="10" t="s">
        <v>86</v>
      </c>
      <c r="C110" s="21" t="n">
        <v>46234</v>
      </c>
      <c r="D110" s="10" t="s">
        <v>413</v>
      </c>
      <c r="E110" s="10" t="s">
        <v>112</v>
      </c>
      <c r="F110" s="10" t="s">
        <v>414</v>
      </c>
      <c r="G110" s="10" t="s">
        <v>174</v>
      </c>
      <c r="H110" s="10" t="s">
        <v>415</v>
      </c>
      <c r="I110" s="9" t="n">
        <v>18000</v>
      </c>
      <c r="J110" s="9"/>
      <c r="K110" s="10" t="s">
        <v>96</v>
      </c>
      <c r="L110" s="10" t="s">
        <v>108</v>
      </c>
      <c r="M110" s="16" t="str">
        <f aca="false">IFERROR(VLOOKUP(N110,Словарь!$A$2:$B$15,2,FALSE()),"Нужно решение")</f>
        <v>Выполнено, ждёт акта</v>
      </c>
      <c r="N110" s="10" t="s">
        <v>150</v>
      </c>
      <c r="O110" s="10" t="s">
        <v>151</v>
      </c>
      <c r="P110" s="22" t="str">
        <f aca="true">IF(AND(OR(M110="Не начато",M110="В работе",M110="Нужно решение"),C110&lt;TODAY()),TODAY()-C110,"")</f>
        <v/>
      </c>
      <c r="Q110" s="10" t="s">
        <v>143</v>
      </c>
      <c r="R110" s="10" t="s">
        <v>323</v>
      </c>
      <c r="S110" s="10"/>
      <c r="T110" s="10" t="s">
        <v>152</v>
      </c>
      <c r="U110" s="10" t="n">
        <v>126</v>
      </c>
    </row>
    <row r="111" customFormat="false" ht="23.85" hidden="false" customHeight="false" outlineLevel="0" collapsed="false">
      <c r="A111" s="10" t="n">
        <v>110</v>
      </c>
      <c r="B111" s="10" t="s">
        <v>86</v>
      </c>
      <c r="C111" s="21" t="n">
        <v>46234</v>
      </c>
      <c r="D111" s="10" t="s">
        <v>413</v>
      </c>
      <c r="E111" s="10" t="s">
        <v>112</v>
      </c>
      <c r="F111" s="10" t="s">
        <v>416</v>
      </c>
      <c r="G111" s="10" t="s">
        <v>142</v>
      </c>
      <c r="H111" s="10" t="s">
        <v>415</v>
      </c>
      <c r="I111" s="9"/>
      <c r="J111" s="9"/>
      <c r="K111" s="10" t="s">
        <v>96</v>
      </c>
      <c r="L111" s="10" t="s">
        <v>108</v>
      </c>
      <c r="M111" s="16" t="str">
        <f aca="false">IFERROR(VLOOKUP(N111,Словарь!$A$2:$B$15,2,FALSE()),"Нужно решение")</f>
        <v>Выполнено, ждёт акта</v>
      </c>
      <c r="N111" s="10" t="s">
        <v>150</v>
      </c>
      <c r="O111" s="10" t="s">
        <v>151</v>
      </c>
      <c r="P111" s="22" t="str">
        <f aca="true">IF(AND(OR(M111="Не начато",M111="В работе",M111="Нужно решение"),C111&lt;TODAY()),TODAY()-C111,"")</f>
        <v/>
      </c>
      <c r="Q111" s="10" t="s">
        <v>143</v>
      </c>
      <c r="R111" s="10" t="s">
        <v>323</v>
      </c>
      <c r="S111" s="10"/>
      <c r="T111" s="10" t="s">
        <v>152</v>
      </c>
      <c r="U111" s="10" t="n">
        <v>127</v>
      </c>
    </row>
    <row r="112" customFormat="false" ht="23.85" hidden="false" customHeight="false" outlineLevel="0" collapsed="false">
      <c r="A112" s="10" t="n">
        <v>111</v>
      </c>
      <c r="B112" s="10" t="s">
        <v>86</v>
      </c>
      <c r="C112" s="21" t="n">
        <v>46234</v>
      </c>
      <c r="D112" s="10" t="s">
        <v>417</v>
      </c>
      <c r="E112" s="10" t="s">
        <v>113</v>
      </c>
      <c r="F112" s="10" t="s">
        <v>418</v>
      </c>
      <c r="G112" s="10" t="s">
        <v>158</v>
      </c>
      <c r="H112" s="10" t="s">
        <v>419</v>
      </c>
      <c r="I112" s="9" t="n">
        <v>50000</v>
      </c>
      <c r="J112" s="9"/>
      <c r="K112" s="10" t="s">
        <v>96</v>
      </c>
      <c r="L112" s="10" t="s">
        <v>101</v>
      </c>
      <c r="M112" s="16" t="str">
        <f aca="false">IFERROR(VLOOKUP(N112,Словарь!$A$2:$B$15,2,FALSE()),"Нужно решение")</f>
        <v>Выполнено, ждёт акта</v>
      </c>
      <c r="N112" s="10" t="s">
        <v>150</v>
      </c>
      <c r="O112" s="10" t="s">
        <v>151</v>
      </c>
      <c r="P112" s="22" t="str">
        <f aca="true">IF(AND(OR(M112="Не начато",M112="В работе",M112="Нужно решение"),C112&lt;TODAY()),TODAY()-C112,"")</f>
        <v/>
      </c>
      <c r="Q112" s="10" t="s">
        <v>143</v>
      </c>
      <c r="R112" s="10" t="s">
        <v>323</v>
      </c>
      <c r="S112" s="10"/>
      <c r="T112" s="10" t="s">
        <v>152</v>
      </c>
      <c r="U112" s="10" t="n">
        <v>128</v>
      </c>
    </row>
    <row r="113" customFormat="false" ht="23.85" hidden="false" customHeight="false" outlineLevel="0" collapsed="false">
      <c r="A113" s="10" t="n">
        <v>112</v>
      </c>
      <c r="B113" s="10" t="s">
        <v>87</v>
      </c>
      <c r="C113" s="21" t="n">
        <v>46265</v>
      </c>
      <c r="D113" s="10" t="s">
        <v>420</v>
      </c>
      <c r="E113" s="10" t="s">
        <v>112</v>
      </c>
      <c r="F113" s="10" t="s">
        <v>421</v>
      </c>
      <c r="G113" s="10" t="s">
        <v>142</v>
      </c>
      <c r="H113" s="10"/>
      <c r="I113" s="9" t="n">
        <v>873960</v>
      </c>
      <c r="J113" s="9" t="n">
        <v>758676.22</v>
      </c>
      <c r="K113" s="10" t="s">
        <v>97</v>
      </c>
      <c r="L113" s="10" t="s">
        <v>100</v>
      </c>
      <c r="M113" s="16" t="str">
        <f aca="false">IFERROR(VLOOKUP(N113,Словарь!$A$2:$B$15,2,FALSE()),"Нужно решение")</f>
        <v>Принято с актом</v>
      </c>
      <c r="N113" s="10" t="s">
        <v>138</v>
      </c>
      <c r="O113" s="10" t="s">
        <v>155</v>
      </c>
      <c r="P113" s="22" t="str">
        <f aca="true">IF(AND(OR(M113="Не начато",M113="В работе",M113="Нужно решение"),C113&lt;TODAY()),TODAY()-C113,"")</f>
        <v/>
      </c>
      <c r="Q113" s="10" t="s">
        <v>143</v>
      </c>
      <c r="R113" s="10" t="s">
        <v>422</v>
      </c>
      <c r="S113" s="10" t="s">
        <v>423</v>
      </c>
      <c r="T113" s="10" t="s">
        <v>207</v>
      </c>
      <c r="U113" s="10" t="n">
        <v>131</v>
      </c>
    </row>
    <row r="114" customFormat="false" ht="23.85" hidden="false" customHeight="false" outlineLevel="0" collapsed="false">
      <c r="A114" s="10" t="n">
        <v>113</v>
      </c>
      <c r="B114" s="10" t="s">
        <v>87</v>
      </c>
      <c r="C114" s="21" t="n">
        <v>46265</v>
      </c>
      <c r="D114" s="10" t="s">
        <v>214</v>
      </c>
      <c r="E114" s="10" t="s">
        <v>112</v>
      </c>
      <c r="F114" s="10" t="s">
        <v>424</v>
      </c>
      <c r="G114" s="10" t="s">
        <v>142</v>
      </c>
      <c r="H114" s="10" t="s">
        <v>425</v>
      </c>
      <c r="I114" s="9" t="n">
        <v>120000</v>
      </c>
      <c r="J114" s="9" t="n">
        <v>6943.96</v>
      </c>
      <c r="K114" s="10" t="s">
        <v>97</v>
      </c>
      <c r="L114" s="10" t="s">
        <v>102</v>
      </c>
      <c r="M114" s="16" t="str">
        <f aca="false">IFERROR(VLOOKUP(N114,Словарь!$A$2:$B$15,2,FALSE()),"Нужно решение")</f>
        <v>Принято с актом</v>
      </c>
      <c r="N114" s="10" t="s">
        <v>138</v>
      </c>
      <c r="O114" s="10" t="s">
        <v>155</v>
      </c>
      <c r="P114" s="22" t="str">
        <f aca="true">IF(AND(OR(M114="Не начато",M114="В работе",M114="Нужно решение"),C114&lt;TODAY()),TODAY()-C114,"")</f>
        <v/>
      </c>
      <c r="Q114" s="10" t="s">
        <v>143</v>
      </c>
      <c r="R114" s="10" t="s">
        <v>426</v>
      </c>
      <c r="S114" s="10"/>
      <c r="T114" s="10" t="s">
        <v>207</v>
      </c>
      <c r="U114" s="10" t="n">
        <v>132</v>
      </c>
    </row>
    <row r="115" customFormat="false" ht="23.85" hidden="false" customHeight="false" outlineLevel="0" collapsed="false">
      <c r="A115" s="10" t="n">
        <v>114</v>
      </c>
      <c r="B115" s="10" t="s">
        <v>87</v>
      </c>
      <c r="C115" s="21" t="n">
        <v>46265</v>
      </c>
      <c r="D115" s="10" t="s">
        <v>427</v>
      </c>
      <c r="E115" s="10" t="s">
        <v>112</v>
      </c>
      <c r="F115" s="10" t="s">
        <v>428</v>
      </c>
      <c r="G115" s="10" t="s">
        <v>142</v>
      </c>
      <c r="H115" s="10" t="s">
        <v>429</v>
      </c>
      <c r="I115" s="9" t="n">
        <v>27979.03</v>
      </c>
      <c r="J115" s="9" t="n">
        <v>27979.03</v>
      </c>
      <c r="K115" s="10" t="s">
        <v>97</v>
      </c>
      <c r="L115" s="10" t="s">
        <v>100</v>
      </c>
      <c r="M115" s="16" t="str">
        <f aca="false">IFERROR(VLOOKUP(N115,Словарь!$A$2:$B$15,2,FALSE()),"Нужно решение")</f>
        <v>Принято с актом</v>
      </c>
      <c r="N115" s="10" t="s">
        <v>138</v>
      </c>
      <c r="O115" s="10" t="s">
        <v>155</v>
      </c>
      <c r="P115" s="22" t="str">
        <f aca="true">IF(AND(OR(M115="Не начато",M115="В работе",M115="Нужно решение"),C115&lt;TODAY()),TODAY()-C115,"")</f>
        <v/>
      </c>
      <c r="Q115" s="10" t="s">
        <v>143</v>
      </c>
      <c r="R115" s="10" t="s">
        <v>426</v>
      </c>
      <c r="S115" s="10"/>
      <c r="T115" s="10" t="s">
        <v>145</v>
      </c>
      <c r="U115" s="10" t="n">
        <v>133</v>
      </c>
    </row>
    <row r="116" customFormat="false" ht="23.85" hidden="false" customHeight="false" outlineLevel="0" collapsed="false">
      <c r="A116" s="10" t="n">
        <v>115</v>
      </c>
      <c r="B116" s="10" t="s">
        <v>87</v>
      </c>
      <c r="C116" s="21" t="n">
        <v>46265</v>
      </c>
      <c r="D116" s="10" t="s">
        <v>427</v>
      </c>
      <c r="E116" s="10" t="s">
        <v>112</v>
      </c>
      <c r="F116" s="10" t="s">
        <v>430</v>
      </c>
      <c r="G116" s="10" t="s">
        <v>174</v>
      </c>
      <c r="H116" s="10"/>
      <c r="I116" s="9" t="n">
        <v>55944</v>
      </c>
      <c r="J116" s="9" t="n">
        <v>55944</v>
      </c>
      <c r="K116" s="10" t="s">
        <v>97</v>
      </c>
      <c r="L116" s="10" t="s">
        <v>100</v>
      </c>
      <c r="M116" s="16" t="str">
        <f aca="false">IFERROR(VLOOKUP(N116,Словарь!$A$2:$B$15,2,FALSE()),"Нужно решение")</f>
        <v>Принято с актом</v>
      </c>
      <c r="N116" s="10" t="s">
        <v>138</v>
      </c>
      <c r="O116" s="10" t="s">
        <v>155</v>
      </c>
      <c r="P116" s="22" t="str">
        <f aca="true">IF(AND(OR(M116="Не начато",M116="В работе",M116="Нужно решение"),C116&lt;TODAY()),TODAY()-C116,"")</f>
        <v/>
      </c>
      <c r="Q116" s="10" t="s">
        <v>143</v>
      </c>
      <c r="R116" s="10" t="s">
        <v>426</v>
      </c>
      <c r="S116" s="10"/>
      <c r="T116" s="10" t="s">
        <v>145</v>
      </c>
      <c r="U116" s="10" t="n">
        <v>134</v>
      </c>
    </row>
    <row r="117" customFormat="false" ht="23.85" hidden="false" customHeight="false" outlineLevel="0" collapsed="false">
      <c r="A117" s="10" t="n">
        <v>116</v>
      </c>
      <c r="B117" s="10" t="s">
        <v>87</v>
      </c>
      <c r="C117" s="21" t="n">
        <v>46265</v>
      </c>
      <c r="D117" s="10" t="s">
        <v>431</v>
      </c>
      <c r="E117" s="10" t="s">
        <v>117</v>
      </c>
      <c r="F117" s="10" t="s">
        <v>432</v>
      </c>
      <c r="G117" s="10" t="s">
        <v>142</v>
      </c>
      <c r="H117" s="10"/>
      <c r="I117" s="9" t="n">
        <v>44830</v>
      </c>
      <c r="J117" s="9"/>
      <c r="K117" s="10" t="s">
        <v>95</v>
      </c>
      <c r="L117" s="10" t="s">
        <v>100</v>
      </c>
      <c r="M117" s="16" t="str">
        <f aca="false">IFERROR(VLOOKUP(N117,Словарь!$A$2:$B$15,2,FALSE()),"Нужно решение")</f>
        <v>Выполнено, ждёт акта</v>
      </c>
      <c r="N117" s="10" t="s">
        <v>150</v>
      </c>
      <c r="O117" s="10"/>
      <c r="P117" s="22" t="str">
        <f aca="true">IF(AND(OR(M117="Не начато",M117="В работе",M117="Нужно решение"),C117&lt;TODAY()),TODAY()-C117,"")</f>
        <v/>
      </c>
      <c r="Q117" s="10" t="s">
        <v>238</v>
      </c>
      <c r="R117" s="10" t="s">
        <v>426</v>
      </c>
      <c r="S117" s="10"/>
      <c r="T117" s="10" t="s">
        <v>319</v>
      </c>
      <c r="U117" s="10" t="n">
        <v>135</v>
      </c>
    </row>
    <row r="118" customFormat="false" ht="23.85" hidden="false" customHeight="false" outlineLevel="0" collapsed="false">
      <c r="A118" s="10" t="n">
        <v>117</v>
      </c>
      <c r="B118" s="10" t="s">
        <v>87</v>
      </c>
      <c r="C118" s="21" t="n">
        <v>46265</v>
      </c>
      <c r="D118" s="10" t="s">
        <v>274</v>
      </c>
      <c r="E118" s="10" t="s">
        <v>112</v>
      </c>
      <c r="F118" s="10" t="s">
        <v>433</v>
      </c>
      <c r="G118" s="10" t="s">
        <v>192</v>
      </c>
      <c r="H118" s="10" t="s">
        <v>434</v>
      </c>
      <c r="I118" s="9" t="n">
        <v>62000</v>
      </c>
      <c r="J118" s="9" t="n">
        <v>67200</v>
      </c>
      <c r="K118" s="10" t="s">
        <v>97</v>
      </c>
      <c r="L118" s="10" t="s">
        <v>100</v>
      </c>
      <c r="M118" s="16" t="str">
        <f aca="false">IFERROR(VLOOKUP(N118,Словарь!$A$2:$B$15,2,FALSE()),"Нужно решение")</f>
        <v>Принято с актом</v>
      </c>
      <c r="N118" s="10" t="s">
        <v>138</v>
      </c>
      <c r="O118" s="10" t="s">
        <v>155</v>
      </c>
      <c r="P118" s="22" t="str">
        <f aca="true">IF(AND(OR(M118="Не начато",M118="В работе",M118="Нужно решение"),C118&lt;TODAY()),TODAY()-C118,"")</f>
        <v/>
      </c>
      <c r="Q118" s="10" t="s">
        <v>143</v>
      </c>
      <c r="R118" s="10" t="s">
        <v>435</v>
      </c>
      <c r="S118" s="10" t="s">
        <v>436</v>
      </c>
      <c r="T118" s="10" t="s">
        <v>207</v>
      </c>
      <c r="U118" s="10" t="n">
        <v>136</v>
      </c>
    </row>
    <row r="119" customFormat="false" ht="23.85" hidden="false" customHeight="false" outlineLevel="0" collapsed="false">
      <c r="A119" s="10" t="n">
        <v>118</v>
      </c>
      <c r="B119" s="10" t="s">
        <v>87</v>
      </c>
      <c r="C119" s="21" t="n">
        <v>46265</v>
      </c>
      <c r="D119" s="10" t="s">
        <v>341</v>
      </c>
      <c r="E119" s="10" t="s">
        <v>113</v>
      </c>
      <c r="F119" s="10" t="s">
        <v>437</v>
      </c>
      <c r="G119" s="10" t="s">
        <v>158</v>
      </c>
      <c r="H119" s="10" t="s">
        <v>438</v>
      </c>
      <c r="I119" s="9" t="n">
        <v>1123000</v>
      </c>
      <c r="J119" s="9" t="n">
        <v>1123000</v>
      </c>
      <c r="K119" s="10" t="s">
        <v>97</v>
      </c>
      <c r="L119" s="10" t="s">
        <v>101</v>
      </c>
      <c r="M119" s="16" t="str">
        <f aca="false">IFERROR(VLOOKUP(N119,Словарь!$A$2:$B$15,2,FALSE()),"Нужно решение")</f>
        <v>Принято с актом</v>
      </c>
      <c r="N119" s="10" t="s">
        <v>138</v>
      </c>
      <c r="O119" s="10" t="s">
        <v>155</v>
      </c>
      <c r="P119" s="22" t="str">
        <f aca="true">IF(AND(OR(M119="Не начато",M119="В работе",M119="Нужно решение"),C119&lt;TODAY()),TODAY()-C119,"")</f>
        <v/>
      </c>
      <c r="Q119" s="10" t="s">
        <v>143</v>
      </c>
      <c r="R119" s="10" t="s">
        <v>435</v>
      </c>
      <c r="S119" s="10"/>
      <c r="T119" s="10" t="s">
        <v>207</v>
      </c>
      <c r="U119" s="10" t="n">
        <v>137</v>
      </c>
    </row>
    <row r="120" customFormat="false" ht="23.85" hidden="false" customHeight="false" outlineLevel="0" collapsed="false">
      <c r="A120" s="10" t="n">
        <v>119</v>
      </c>
      <c r="B120" s="10" t="s">
        <v>87</v>
      </c>
      <c r="C120" s="21" t="n">
        <v>46265</v>
      </c>
      <c r="D120" s="10" t="s">
        <v>351</v>
      </c>
      <c r="E120" s="10" t="s">
        <v>114</v>
      </c>
      <c r="F120" s="10" t="s">
        <v>439</v>
      </c>
      <c r="G120" s="10" t="s">
        <v>183</v>
      </c>
      <c r="H120" s="10"/>
      <c r="I120" s="9" t="n">
        <v>12500</v>
      </c>
      <c r="J120" s="9" t="n">
        <v>12500</v>
      </c>
      <c r="K120" s="10" t="s">
        <v>97</v>
      </c>
      <c r="L120" s="10" t="s">
        <v>100</v>
      </c>
      <c r="M120" s="16" t="str">
        <f aca="false">IFERROR(VLOOKUP(N120,Словарь!$A$2:$B$15,2,FALSE()),"Нужно решение")</f>
        <v>Принято с актом</v>
      </c>
      <c r="N120" s="10" t="s">
        <v>138</v>
      </c>
      <c r="O120" s="10" t="s">
        <v>155</v>
      </c>
      <c r="P120" s="22" t="str">
        <f aca="true">IF(AND(OR(M120="Не начато",M120="В работе",M120="Нужно решение"),C120&lt;TODAY()),TODAY()-C120,"")</f>
        <v/>
      </c>
      <c r="Q120" s="10" t="s">
        <v>143</v>
      </c>
      <c r="R120" s="10" t="s">
        <v>426</v>
      </c>
      <c r="S120" s="10"/>
      <c r="T120" s="10" t="s">
        <v>145</v>
      </c>
      <c r="U120" s="10" t="n">
        <v>138</v>
      </c>
    </row>
    <row r="121" customFormat="false" ht="23.85" hidden="false" customHeight="false" outlineLevel="0" collapsed="false">
      <c r="A121" s="10" t="n">
        <v>120</v>
      </c>
      <c r="B121" s="10" t="s">
        <v>87</v>
      </c>
      <c r="C121" s="21" t="n">
        <v>46265</v>
      </c>
      <c r="D121" s="10" t="s">
        <v>353</v>
      </c>
      <c r="E121" s="10" t="s">
        <v>114</v>
      </c>
      <c r="F121" s="10" t="s">
        <v>439</v>
      </c>
      <c r="G121" s="10" t="s">
        <v>183</v>
      </c>
      <c r="H121" s="10"/>
      <c r="I121" s="9" t="n">
        <v>12500</v>
      </c>
      <c r="J121" s="9" t="n">
        <v>12500</v>
      </c>
      <c r="K121" s="10" t="s">
        <v>97</v>
      </c>
      <c r="L121" s="10" t="s">
        <v>100</v>
      </c>
      <c r="M121" s="16" t="str">
        <f aca="false">IFERROR(VLOOKUP(N121,Словарь!$A$2:$B$15,2,FALSE()),"Нужно решение")</f>
        <v>Принято с актом</v>
      </c>
      <c r="N121" s="10" t="s">
        <v>138</v>
      </c>
      <c r="O121" s="10" t="s">
        <v>155</v>
      </c>
      <c r="P121" s="22" t="str">
        <f aca="true">IF(AND(OR(M121="Не начато",M121="В работе",M121="Нужно решение"),C121&lt;TODAY()),TODAY()-C121,"")</f>
        <v/>
      </c>
      <c r="Q121" s="10" t="s">
        <v>143</v>
      </c>
      <c r="R121" s="10" t="s">
        <v>426</v>
      </c>
      <c r="S121" s="10"/>
      <c r="T121" s="10" t="s">
        <v>145</v>
      </c>
      <c r="U121" s="10" t="n">
        <v>139</v>
      </c>
    </row>
    <row r="122" customFormat="false" ht="23.85" hidden="false" customHeight="false" outlineLevel="0" collapsed="false">
      <c r="A122" s="10" t="n">
        <v>121</v>
      </c>
      <c r="B122" s="10" t="s">
        <v>87</v>
      </c>
      <c r="C122" s="21" t="n">
        <v>46265</v>
      </c>
      <c r="D122" s="10" t="s">
        <v>196</v>
      </c>
      <c r="E122" s="10" t="s">
        <v>112</v>
      </c>
      <c r="F122" s="10" t="s">
        <v>440</v>
      </c>
      <c r="G122" s="10" t="s">
        <v>188</v>
      </c>
      <c r="H122" s="10"/>
      <c r="I122" s="9" t="n">
        <v>75000</v>
      </c>
      <c r="J122" s="9" t="n">
        <v>75000</v>
      </c>
      <c r="K122" s="10" t="s">
        <v>97</v>
      </c>
      <c r="L122" s="10" t="s">
        <v>101</v>
      </c>
      <c r="M122" s="16" t="str">
        <f aca="false">IFERROR(VLOOKUP(N122,Словарь!$A$2:$B$15,2,FALSE()),"Нужно решение")</f>
        <v>Принято с актом</v>
      </c>
      <c r="N122" s="10" t="s">
        <v>138</v>
      </c>
      <c r="O122" s="10" t="s">
        <v>155</v>
      </c>
      <c r="P122" s="22" t="str">
        <f aca="true">IF(AND(OR(M122="Не начато",M122="В работе",M122="Нужно решение"),C122&lt;TODAY()),TODAY()-C122,"")</f>
        <v/>
      </c>
      <c r="Q122" s="10" t="s">
        <v>143</v>
      </c>
      <c r="R122" s="10" t="s">
        <v>422</v>
      </c>
      <c r="S122" s="10"/>
      <c r="T122" s="10" t="s">
        <v>207</v>
      </c>
      <c r="U122" s="10" t="n">
        <v>140</v>
      </c>
    </row>
    <row r="123" customFormat="false" ht="35.05" hidden="false" customHeight="false" outlineLevel="0" collapsed="false">
      <c r="A123" s="10" t="n">
        <v>122</v>
      </c>
      <c r="B123" s="10" t="s">
        <v>87</v>
      </c>
      <c r="C123" s="21" t="n">
        <v>46265</v>
      </c>
      <c r="D123" s="10" t="s">
        <v>441</v>
      </c>
      <c r="E123" s="10" t="s">
        <v>112</v>
      </c>
      <c r="F123" s="10" t="s">
        <v>442</v>
      </c>
      <c r="G123" s="10" t="s">
        <v>188</v>
      </c>
      <c r="H123" s="10" t="s">
        <v>443</v>
      </c>
      <c r="I123" s="9" t="n">
        <v>1041749.49</v>
      </c>
      <c r="J123" s="9"/>
      <c r="K123" s="10" t="s">
        <v>95</v>
      </c>
      <c r="L123" s="10" t="s">
        <v>104</v>
      </c>
      <c r="M123" s="16" t="str">
        <f aca="false">IFERROR(VLOOKUP(N123,Словарь!$A$2:$B$15,2,FALSE()),"Нужно решение")</f>
        <v>Выполнено, ждёт акта</v>
      </c>
      <c r="N123" s="10" t="s">
        <v>150</v>
      </c>
      <c r="O123" s="10"/>
      <c r="P123" s="22" t="str">
        <f aca="true">IF(AND(OR(M123="Не начато",M123="В работе",M123="Нужно решение"),C123&lt;TODAY()),TODAY()-C123,"")</f>
        <v/>
      </c>
      <c r="Q123" s="10" t="s">
        <v>238</v>
      </c>
      <c r="R123" s="10" t="s">
        <v>426</v>
      </c>
      <c r="S123" s="10"/>
      <c r="T123" s="10" t="s">
        <v>319</v>
      </c>
      <c r="U123" s="10" t="n">
        <v>143</v>
      </c>
    </row>
    <row r="124" customFormat="false" ht="23.85" hidden="false" customHeight="false" outlineLevel="0" collapsed="false">
      <c r="A124" s="10" t="n">
        <v>123</v>
      </c>
      <c r="B124" s="10" t="s">
        <v>87</v>
      </c>
      <c r="C124" s="21" t="n">
        <v>46265</v>
      </c>
      <c r="D124" s="10" t="s">
        <v>153</v>
      </c>
      <c r="E124" s="10" t="s">
        <v>112</v>
      </c>
      <c r="F124" s="10" t="s">
        <v>444</v>
      </c>
      <c r="G124" s="10" t="s">
        <v>183</v>
      </c>
      <c r="H124" s="10" t="s">
        <v>445</v>
      </c>
      <c r="I124" s="9" t="n">
        <v>600000</v>
      </c>
      <c r="J124" s="9" t="n">
        <v>658930</v>
      </c>
      <c r="K124" s="10" t="s">
        <v>97</v>
      </c>
      <c r="L124" s="10" t="s">
        <v>104</v>
      </c>
      <c r="M124" s="16" t="str">
        <f aca="false">IFERROR(VLOOKUP(N124,Словарь!$A$2:$B$15,2,FALSE()),"Нужно решение")</f>
        <v>Принято с актом</v>
      </c>
      <c r="N124" s="10" t="s">
        <v>138</v>
      </c>
      <c r="O124" s="10" t="s">
        <v>155</v>
      </c>
      <c r="P124" s="22" t="str">
        <f aca="true">IF(AND(OR(M124="Не начато",M124="В работе",M124="Нужно решение"),C124&lt;TODAY()),TODAY()-C124,"")</f>
        <v/>
      </c>
      <c r="Q124" s="10" t="s">
        <v>143</v>
      </c>
      <c r="R124" s="10" t="s">
        <v>426</v>
      </c>
      <c r="S124" s="10"/>
      <c r="T124" s="10" t="s">
        <v>145</v>
      </c>
      <c r="U124" s="10" t="n">
        <v>141</v>
      </c>
    </row>
    <row r="125" customFormat="false" ht="23.85" hidden="false" customHeight="false" outlineLevel="0" collapsed="false">
      <c r="A125" s="10" t="n">
        <v>124</v>
      </c>
      <c r="B125" s="10" t="s">
        <v>87</v>
      </c>
      <c r="C125" s="21" t="n">
        <v>46265</v>
      </c>
      <c r="D125" s="10" t="s">
        <v>153</v>
      </c>
      <c r="E125" s="10" t="s">
        <v>112</v>
      </c>
      <c r="F125" s="10" t="s">
        <v>446</v>
      </c>
      <c r="G125" s="10" t="s">
        <v>158</v>
      </c>
      <c r="H125" s="10" t="s">
        <v>447</v>
      </c>
      <c r="I125" s="9" t="n">
        <v>20000</v>
      </c>
      <c r="J125" s="9"/>
      <c r="K125" s="10" t="s">
        <v>95</v>
      </c>
      <c r="L125" s="10" t="s">
        <v>104</v>
      </c>
      <c r="M125" s="16" t="str">
        <f aca="false">IFERROR(VLOOKUP(N125,Словарь!$A$2:$B$15,2,FALSE()),"Нужно решение")</f>
        <v>Выполнено, ждёт акта</v>
      </c>
      <c r="N125" s="10" t="s">
        <v>150</v>
      </c>
      <c r="O125" s="10"/>
      <c r="P125" s="22" t="str">
        <f aca="true">IF(AND(OR(M125="Не начато",M125="В работе",M125="Нужно решение"),C125&lt;TODAY()),TODAY()-C125,"")</f>
        <v/>
      </c>
      <c r="Q125" s="10" t="s">
        <v>238</v>
      </c>
      <c r="R125" s="10" t="s">
        <v>426</v>
      </c>
      <c r="S125" s="10"/>
      <c r="T125" s="10" t="s">
        <v>319</v>
      </c>
      <c r="U125" s="10" t="n">
        <v>142</v>
      </c>
    </row>
    <row r="126" customFormat="false" ht="23.85" hidden="false" customHeight="false" outlineLevel="0" collapsed="false">
      <c r="A126" s="10" t="n">
        <v>125</v>
      </c>
      <c r="B126" s="10" t="s">
        <v>87</v>
      </c>
      <c r="C126" s="21" t="n">
        <v>46265</v>
      </c>
      <c r="D126" s="10" t="s">
        <v>232</v>
      </c>
      <c r="E126" s="10" t="s">
        <v>112</v>
      </c>
      <c r="F126" s="10" t="s">
        <v>448</v>
      </c>
      <c r="G126" s="10" t="s">
        <v>188</v>
      </c>
      <c r="H126" s="10" t="s">
        <v>449</v>
      </c>
      <c r="I126" s="9" t="n">
        <v>50000</v>
      </c>
      <c r="J126" s="9" t="n">
        <v>50000</v>
      </c>
      <c r="K126" s="10" t="s">
        <v>97</v>
      </c>
      <c r="L126" s="10" t="s">
        <v>100</v>
      </c>
      <c r="M126" s="16" t="str">
        <f aca="false">IFERROR(VLOOKUP(N126,Словарь!$A$2:$B$15,2,FALSE()),"Нужно решение")</f>
        <v>Принято с актом</v>
      </c>
      <c r="N126" s="10" t="s">
        <v>138</v>
      </c>
      <c r="O126" s="10" t="s">
        <v>155</v>
      </c>
      <c r="P126" s="22" t="str">
        <f aca="true">IF(AND(OR(M126="Не начато",M126="В работе",M126="Нужно решение"),C126&lt;TODAY()),TODAY()-C126,"")</f>
        <v/>
      </c>
      <c r="Q126" s="10" t="s">
        <v>143</v>
      </c>
      <c r="R126" s="10" t="s">
        <v>426</v>
      </c>
      <c r="S126" s="10"/>
      <c r="T126" s="10" t="s">
        <v>145</v>
      </c>
      <c r="U126" s="10" t="n">
        <v>145</v>
      </c>
    </row>
    <row r="127" customFormat="false" ht="23.85" hidden="false" customHeight="false" outlineLevel="0" collapsed="false">
      <c r="A127" s="10" t="n">
        <v>126</v>
      </c>
      <c r="B127" s="10" t="s">
        <v>87</v>
      </c>
      <c r="C127" s="21" t="n">
        <v>46265</v>
      </c>
      <c r="D127" s="10" t="s">
        <v>450</v>
      </c>
      <c r="E127" s="10" t="s">
        <v>112</v>
      </c>
      <c r="F127" s="10" t="s">
        <v>451</v>
      </c>
      <c r="G127" s="10" t="s">
        <v>188</v>
      </c>
      <c r="H127" s="10" t="s">
        <v>452</v>
      </c>
      <c r="I127" s="9" t="n">
        <v>75610</v>
      </c>
      <c r="J127" s="9" t="n">
        <v>75610</v>
      </c>
      <c r="K127" s="10" t="s">
        <v>95</v>
      </c>
      <c r="L127" s="10" t="s">
        <v>100</v>
      </c>
      <c r="M127" s="16" t="str">
        <f aca="false">IFERROR(VLOOKUP(N127,Словарь!$A$2:$B$15,2,FALSE()),"Нужно решение")</f>
        <v>Принято с актом</v>
      </c>
      <c r="N127" s="10" t="s">
        <v>138</v>
      </c>
      <c r="O127" s="10" t="s">
        <v>155</v>
      </c>
      <c r="P127" s="22" t="str">
        <f aca="true">IF(AND(OR(M127="Не начато",M127="В работе",M127="Нужно решение"),C127&lt;TODAY()),TODAY()-C127,"")</f>
        <v/>
      </c>
      <c r="Q127" s="10" t="s">
        <v>143</v>
      </c>
      <c r="R127" s="10" t="s">
        <v>453</v>
      </c>
      <c r="S127" s="10"/>
      <c r="T127" s="10" t="s">
        <v>207</v>
      </c>
      <c r="U127" s="10" t="n">
        <v>144</v>
      </c>
    </row>
    <row r="128" customFormat="false" ht="23.85" hidden="false" customHeight="false" outlineLevel="0" collapsed="false">
      <c r="A128" s="10" t="n">
        <v>127</v>
      </c>
      <c r="B128" s="10" t="s">
        <v>87</v>
      </c>
      <c r="C128" s="21" t="n">
        <v>46265</v>
      </c>
      <c r="D128" s="10" t="s">
        <v>454</v>
      </c>
      <c r="E128" s="10" t="s">
        <v>112</v>
      </c>
      <c r="F128" s="10" t="s">
        <v>455</v>
      </c>
      <c r="G128" s="10" t="s">
        <v>174</v>
      </c>
      <c r="H128" s="10"/>
      <c r="I128" s="9" t="n">
        <v>192988.9</v>
      </c>
      <c r="J128" s="9" t="n">
        <v>192988.9</v>
      </c>
      <c r="K128" s="10" t="s">
        <v>96</v>
      </c>
      <c r="L128" s="10" t="s">
        <v>107</v>
      </c>
      <c r="M128" s="16" t="str">
        <f aca="false">IFERROR(VLOOKUP(N128,Словарь!$A$2:$B$15,2,FALSE()),"Нужно решение")</f>
        <v>Принято с актом</v>
      </c>
      <c r="N128" s="10" t="s">
        <v>138</v>
      </c>
      <c r="O128" s="10" t="s">
        <v>155</v>
      </c>
      <c r="P128" s="22" t="str">
        <f aca="true">IF(AND(OR(M128="Не начато",M128="В работе",M128="Нужно решение"),C128&lt;TODAY()),TODAY()-C128,"")</f>
        <v/>
      </c>
      <c r="Q128" s="10" t="s">
        <v>143</v>
      </c>
      <c r="R128" s="10" t="s">
        <v>426</v>
      </c>
      <c r="S128" s="10"/>
      <c r="T128" s="10" t="s">
        <v>145</v>
      </c>
      <c r="U128" s="10" t="n">
        <v>146</v>
      </c>
    </row>
    <row r="129" customFormat="false" ht="23.85" hidden="false" customHeight="false" outlineLevel="0" collapsed="false">
      <c r="A129" s="10" t="n">
        <v>128</v>
      </c>
      <c r="B129" s="10" t="s">
        <v>87</v>
      </c>
      <c r="C129" s="21" t="n">
        <v>46265</v>
      </c>
      <c r="D129" s="10" t="s">
        <v>456</v>
      </c>
      <c r="E129" s="10" t="s">
        <v>112</v>
      </c>
      <c r="F129" s="10" t="s">
        <v>457</v>
      </c>
      <c r="G129" s="10" t="s">
        <v>174</v>
      </c>
      <c r="H129" s="10" t="s">
        <v>458</v>
      </c>
      <c r="I129" s="9" t="n">
        <v>127378.93</v>
      </c>
      <c r="J129" s="9" t="n">
        <v>127376.93</v>
      </c>
      <c r="K129" s="10" t="s">
        <v>97</v>
      </c>
      <c r="L129" s="10" t="s">
        <v>103</v>
      </c>
      <c r="M129" s="16" t="str">
        <f aca="false">IFERROR(VLOOKUP(N129,Словарь!$A$2:$B$15,2,FALSE()),"Нужно решение")</f>
        <v>Принято с актом</v>
      </c>
      <c r="N129" s="10" t="s">
        <v>138</v>
      </c>
      <c r="O129" s="10" t="s">
        <v>155</v>
      </c>
      <c r="P129" s="22" t="str">
        <f aca="true">IF(AND(OR(M129="Не начато",M129="В работе",M129="Нужно решение"),C129&lt;TODAY()),TODAY()-C129,"")</f>
        <v/>
      </c>
      <c r="Q129" s="10" t="s">
        <v>143</v>
      </c>
      <c r="R129" s="10" t="s">
        <v>426</v>
      </c>
      <c r="S129" s="10"/>
      <c r="T129" s="10" t="s">
        <v>145</v>
      </c>
      <c r="U129" s="10" t="n">
        <v>147</v>
      </c>
    </row>
    <row r="130" customFormat="false" ht="23.85" hidden="false" customHeight="false" outlineLevel="0" collapsed="false">
      <c r="A130" s="10" t="n">
        <v>129</v>
      </c>
      <c r="B130" s="10" t="s">
        <v>87</v>
      </c>
      <c r="C130" s="21" t="n">
        <v>46265</v>
      </c>
      <c r="D130" s="10" t="s">
        <v>456</v>
      </c>
      <c r="E130" s="10" t="s">
        <v>112</v>
      </c>
      <c r="F130" s="10" t="s">
        <v>459</v>
      </c>
      <c r="G130" s="10" t="s">
        <v>174</v>
      </c>
      <c r="H130" s="10" t="s">
        <v>458</v>
      </c>
      <c r="I130" s="9" t="n">
        <v>68678.94</v>
      </c>
      <c r="J130" s="9" t="n">
        <v>68678.94</v>
      </c>
      <c r="K130" s="10" t="s">
        <v>97</v>
      </c>
      <c r="L130" s="10" t="s">
        <v>103</v>
      </c>
      <c r="M130" s="16" t="str">
        <f aca="false">IFERROR(VLOOKUP(N130,Словарь!$A$2:$B$15,2,FALSE()),"Нужно решение")</f>
        <v>Принято с актом</v>
      </c>
      <c r="N130" s="10" t="s">
        <v>138</v>
      </c>
      <c r="O130" s="10" t="s">
        <v>155</v>
      </c>
      <c r="P130" s="22" t="str">
        <f aca="true">IF(AND(OR(M130="Не начато",M130="В работе",M130="Нужно решение"),C130&lt;TODAY()),TODAY()-C130,"")</f>
        <v/>
      </c>
      <c r="Q130" s="10" t="s">
        <v>143</v>
      </c>
      <c r="R130" s="10" t="s">
        <v>426</v>
      </c>
      <c r="S130" s="10"/>
      <c r="T130" s="10" t="s">
        <v>145</v>
      </c>
      <c r="U130" s="10" t="n">
        <v>148</v>
      </c>
    </row>
    <row r="131" customFormat="false" ht="23.85" hidden="false" customHeight="false" outlineLevel="0" collapsed="false">
      <c r="A131" s="10" t="n">
        <v>130</v>
      </c>
      <c r="B131" s="10" t="s">
        <v>87</v>
      </c>
      <c r="C131" s="21" t="n">
        <v>46265</v>
      </c>
      <c r="D131" s="10" t="s">
        <v>460</v>
      </c>
      <c r="E131" s="10" t="s">
        <v>113</v>
      </c>
      <c r="F131" s="10" t="s">
        <v>461</v>
      </c>
      <c r="G131" s="10" t="s">
        <v>183</v>
      </c>
      <c r="H131" s="10"/>
      <c r="I131" s="9" t="n">
        <v>546554.08</v>
      </c>
      <c r="J131" s="9" t="n">
        <v>546554.08</v>
      </c>
      <c r="K131" s="10" t="s">
        <v>97</v>
      </c>
      <c r="L131" s="10" t="s">
        <v>101</v>
      </c>
      <c r="M131" s="16" t="str">
        <f aca="false">IFERROR(VLOOKUP(N131,Словарь!$A$2:$B$15,2,FALSE()),"Нужно решение")</f>
        <v>Принято с актом</v>
      </c>
      <c r="N131" s="10" t="s">
        <v>138</v>
      </c>
      <c r="O131" s="10" t="s">
        <v>155</v>
      </c>
      <c r="P131" s="22" t="str">
        <f aca="true">IF(AND(OR(M131="Не начато",M131="В работе",M131="Нужно решение"),C131&lt;TODAY()),TODAY()-C131,"")</f>
        <v/>
      </c>
      <c r="Q131" s="10" t="s">
        <v>143</v>
      </c>
      <c r="R131" s="10" t="s">
        <v>422</v>
      </c>
      <c r="S131" s="10"/>
      <c r="T131" s="10" t="s">
        <v>207</v>
      </c>
      <c r="U131" s="10" t="n">
        <v>149</v>
      </c>
    </row>
    <row r="132" customFormat="false" ht="23.85" hidden="false" customHeight="false" outlineLevel="0" collapsed="false">
      <c r="A132" s="10" t="n">
        <v>131</v>
      </c>
      <c r="B132" s="10" t="s">
        <v>87</v>
      </c>
      <c r="C132" s="21" t="n">
        <v>46265</v>
      </c>
      <c r="D132" s="10" t="s">
        <v>462</v>
      </c>
      <c r="E132" s="10" t="s">
        <v>112</v>
      </c>
      <c r="F132" s="10" t="s">
        <v>463</v>
      </c>
      <c r="G132" s="10" t="s">
        <v>183</v>
      </c>
      <c r="H132" s="10" t="s">
        <v>464</v>
      </c>
      <c r="I132" s="9" t="n">
        <v>406673</v>
      </c>
      <c r="J132" s="9" t="n">
        <v>930141.87</v>
      </c>
      <c r="K132" s="10" t="s">
        <v>97</v>
      </c>
      <c r="L132" s="10" t="s">
        <v>100</v>
      </c>
      <c r="M132" s="16" t="str">
        <f aca="false">IFERROR(VLOOKUP(N132,Словарь!$A$2:$B$15,2,FALSE()),"Нужно решение")</f>
        <v>Принято с актом</v>
      </c>
      <c r="N132" s="10" t="s">
        <v>138</v>
      </c>
      <c r="O132" s="10" t="s">
        <v>155</v>
      </c>
      <c r="P132" s="22" t="str">
        <f aca="true">IF(AND(OR(M132="Не начато",M132="В работе",M132="Нужно решение"),C132&lt;TODAY()),TODAY()-C132,"")</f>
        <v/>
      </c>
      <c r="Q132" s="10" t="s">
        <v>143</v>
      </c>
      <c r="R132" s="10" t="s">
        <v>426</v>
      </c>
      <c r="S132" s="10"/>
      <c r="T132" s="10" t="s">
        <v>145</v>
      </c>
      <c r="U132" s="10" t="n">
        <v>150</v>
      </c>
    </row>
    <row r="133" customFormat="false" ht="23.85" hidden="false" customHeight="false" outlineLevel="0" collapsed="false">
      <c r="A133" s="10" t="n">
        <v>132</v>
      </c>
      <c r="B133" s="10" t="s">
        <v>87</v>
      </c>
      <c r="C133" s="21" t="n">
        <v>46265</v>
      </c>
      <c r="D133" s="10" t="s">
        <v>465</v>
      </c>
      <c r="E133" s="10" t="s">
        <v>113</v>
      </c>
      <c r="F133" s="10" t="s">
        <v>466</v>
      </c>
      <c r="G133" s="10" t="s">
        <v>142</v>
      </c>
      <c r="H133" s="10" t="s">
        <v>467</v>
      </c>
      <c r="I133" s="9" t="n">
        <v>100000</v>
      </c>
      <c r="J133" s="9"/>
      <c r="K133" s="10" t="s">
        <v>95</v>
      </c>
      <c r="L133" s="10" t="s">
        <v>101</v>
      </c>
      <c r="M133" s="16" t="str">
        <f aca="false">IFERROR(VLOOKUP(N133,Словарь!$A$2:$B$15,2,FALSE()),"Нужно решение")</f>
        <v>Выполнено, ждёт акта</v>
      </c>
      <c r="N133" s="10" t="s">
        <v>150</v>
      </c>
      <c r="O133" s="10"/>
      <c r="P133" s="22" t="str">
        <f aca="true">IF(AND(OR(M133="Не начато",M133="В работе",M133="Нужно решение"),C133&lt;TODAY()),TODAY()-C133,"")</f>
        <v/>
      </c>
      <c r="Q133" s="10" t="s">
        <v>238</v>
      </c>
      <c r="R133" s="10" t="s">
        <v>426</v>
      </c>
      <c r="S133" s="10"/>
      <c r="T133" s="10" t="s">
        <v>319</v>
      </c>
      <c r="U133" s="10" t="n">
        <v>151</v>
      </c>
    </row>
    <row r="134" customFormat="false" ht="35.05" hidden="false" customHeight="false" outlineLevel="0" collapsed="false">
      <c r="A134" s="10" t="n">
        <v>133</v>
      </c>
      <c r="B134" s="10" t="s">
        <v>87</v>
      </c>
      <c r="C134" s="21" t="n">
        <v>46265</v>
      </c>
      <c r="D134" s="10" t="s">
        <v>468</v>
      </c>
      <c r="E134" s="10" t="s">
        <v>112</v>
      </c>
      <c r="F134" s="10" t="s">
        <v>469</v>
      </c>
      <c r="G134" s="10" t="s">
        <v>142</v>
      </c>
      <c r="H134" s="10" t="s">
        <v>470</v>
      </c>
      <c r="I134" s="9" t="n">
        <v>551959.88</v>
      </c>
      <c r="J134" s="9" t="n">
        <v>180000</v>
      </c>
      <c r="K134" s="10" t="s">
        <v>97</v>
      </c>
      <c r="L134" s="10" t="s">
        <v>100</v>
      </c>
      <c r="M134" s="16" t="str">
        <f aca="false">IFERROR(VLOOKUP(N134,Словарь!$A$2:$B$15,2,FALSE()),"Нужно решение")</f>
        <v>Принято с актом</v>
      </c>
      <c r="N134" s="10" t="s">
        <v>138</v>
      </c>
      <c r="O134" s="10" t="s">
        <v>139</v>
      </c>
      <c r="P134" s="22" t="str">
        <f aca="true">IF(AND(OR(M134="Не начато",M134="В работе",M134="Нужно решение"),C134&lt;TODAY()),TODAY()-C134,"")</f>
        <v/>
      </c>
      <c r="Q134" s="10" t="s">
        <v>471</v>
      </c>
      <c r="R134" s="10" t="s">
        <v>422</v>
      </c>
      <c r="S134" s="10"/>
      <c r="T134" s="10" t="s">
        <v>472</v>
      </c>
      <c r="U134" s="10" t="n">
        <v>152</v>
      </c>
    </row>
    <row r="135" customFormat="false" ht="23.85" hidden="false" customHeight="false" outlineLevel="0" collapsed="false">
      <c r="A135" s="10" t="n">
        <v>134</v>
      </c>
      <c r="B135" s="10" t="s">
        <v>87</v>
      </c>
      <c r="C135" s="21" t="n">
        <v>46265</v>
      </c>
      <c r="D135" s="10" t="s">
        <v>473</v>
      </c>
      <c r="E135" s="10" t="s">
        <v>112</v>
      </c>
      <c r="F135" s="10" t="s">
        <v>461</v>
      </c>
      <c r="G135" s="10" t="s">
        <v>183</v>
      </c>
      <c r="H135" s="10"/>
      <c r="I135" s="9" t="n">
        <v>551959.88</v>
      </c>
      <c r="J135" s="9" t="n">
        <v>551959.88</v>
      </c>
      <c r="K135" s="10" t="s">
        <v>97</v>
      </c>
      <c r="L135" s="10" t="s">
        <v>100</v>
      </c>
      <c r="M135" s="16" t="str">
        <f aca="false">IFERROR(VLOOKUP(N135,Словарь!$A$2:$B$15,2,FALSE()),"Нужно решение")</f>
        <v>Принято с актом</v>
      </c>
      <c r="N135" s="10" t="s">
        <v>138</v>
      </c>
      <c r="O135" s="10" t="s">
        <v>155</v>
      </c>
      <c r="P135" s="22" t="str">
        <f aca="true">IF(AND(OR(M135="Не начато",M135="В работе",M135="Нужно решение"),C135&lt;TODAY()),TODAY()-C135,"")</f>
        <v/>
      </c>
      <c r="Q135" s="10" t="s">
        <v>143</v>
      </c>
      <c r="R135" s="10" t="s">
        <v>422</v>
      </c>
      <c r="S135" s="10"/>
      <c r="T135" s="10" t="s">
        <v>474</v>
      </c>
      <c r="U135" s="10" t="n">
        <v>153</v>
      </c>
    </row>
    <row r="136" customFormat="false" ht="23.85" hidden="false" customHeight="false" outlineLevel="0" collapsed="false">
      <c r="A136" s="10" t="n">
        <v>135</v>
      </c>
      <c r="B136" s="10" t="s">
        <v>87</v>
      </c>
      <c r="C136" s="21" t="n">
        <v>46265</v>
      </c>
      <c r="D136" s="10" t="s">
        <v>475</v>
      </c>
      <c r="E136" s="10" t="s">
        <v>112</v>
      </c>
      <c r="F136" s="10" t="s">
        <v>476</v>
      </c>
      <c r="G136" s="10" t="s">
        <v>245</v>
      </c>
      <c r="H136" s="10" t="s">
        <v>477</v>
      </c>
      <c r="I136" s="9" t="n">
        <v>394100</v>
      </c>
      <c r="J136" s="9" t="n">
        <v>394100</v>
      </c>
      <c r="K136" s="10" t="s">
        <v>97</v>
      </c>
      <c r="L136" s="10" t="s">
        <v>100</v>
      </c>
      <c r="M136" s="16" t="str">
        <f aca="false">IFERROR(VLOOKUP(N136,Словарь!$A$2:$B$15,2,FALSE()),"Нужно решение")</f>
        <v>Принято с актом</v>
      </c>
      <c r="N136" s="10" t="s">
        <v>138</v>
      </c>
      <c r="O136" s="10" t="s">
        <v>155</v>
      </c>
      <c r="P136" s="22" t="str">
        <f aca="true">IF(AND(OR(M136="Не начато",M136="В работе",M136="Нужно решение"),C136&lt;TODAY()),TODAY()-C136,"")</f>
        <v/>
      </c>
      <c r="Q136" s="10" t="s">
        <v>143</v>
      </c>
      <c r="R136" s="10" t="s">
        <v>422</v>
      </c>
      <c r="S136" s="10"/>
      <c r="T136" s="10" t="s">
        <v>478</v>
      </c>
      <c r="U136" s="10" t="n">
        <v>154</v>
      </c>
    </row>
    <row r="137" customFormat="false" ht="23.85" hidden="false" customHeight="false" outlineLevel="0" collapsed="false">
      <c r="A137" s="10" t="n">
        <v>136</v>
      </c>
      <c r="B137" s="10" t="s">
        <v>87</v>
      </c>
      <c r="C137" s="21" t="n">
        <v>46265</v>
      </c>
      <c r="D137" s="10" t="s">
        <v>475</v>
      </c>
      <c r="E137" s="10" t="s">
        <v>112</v>
      </c>
      <c r="F137" s="10" t="s">
        <v>479</v>
      </c>
      <c r="G137" s="10" t="s">
        <v>148</v>
      </c>
      <c r="H137" s="10" t="s">
        <v>480</v>
      </c>
      <c r="I137" s="9" t="n">
        <v>58635</v>
      </c>
      <c r="J137" s="9"/>
      <c r="K137" s="10" t="s">
        <v>95</v>
      </c>
      <c r="L137" s="10" t="s">
        <v>100</v>
      </c>
      <c r="M137" s="16" t="str">
        <f aca="false">IFERROR(VLOOKUP(N137,Словарь!$A$2:$B$15,2,FALSE()),"Нужно решение")</f>
        <v>Выполнено, ждёт акта</v>
      </c>
      <c r="N137" s="10" t="s">
        <v>150</v>
      </c>
      <c r="O137" s="10"/>
      <c r="P137" s="22" t="str">
        <f aca="true">IF(AND(OR(M137="Не начато",M137="В работе",M137="Нужно решение"),C137&lt;TODAY()),TODAY()-C137,"")</f>
        <v/>
      </c>
      <c r="Q137" s="10" t="s">
        <v>238</v>
      </c>
      <c r="R137" s="10" t="s">
        <v>426</v>
      </c>
      <c r="S137" s="10"/>
      <c r="T137" s="10" t="s">
        <v>319</v>
      </c>
      <c r="U137" s="10" t="n">
        <v>155</v>
      </c>
    </row>
    <row r="138" customFormat="false" ht="23.85" hidden="false" customHeight="false" outlineLevel="0" collapsed="false">
      <c r="A138" s="10" t="n">
        <v>137</v>
      </c>
      <c r="B138" s="10" t="s">
        <v>87</v>
      </c>
      <c r="C138" s="21" t="n">
        <v>46265</v>
      </c>
      <c r="D138" s="10" t="s">
        <v>417</v>
      </c>
      <c r="E138" s="10" t="s">
        <v>113</v>
      </c>
      <c r="F138" s="10" t="s">
        <v>481</v>
      </c>
      <c r="G138" s="10" t="s">
        <v>148</v>
      </c>
      <c r="H138" s="10" t="s">
        <v>482</v>
      </c>
      <c r="I138" s="9" t="n">
        <v>24000</v>
      </c>
      <c r="J138" s="9"/>
      <c r="K138" s="10" t="s">
        <v>96</v>
      </c>
      <c r="L138" s="10" t="s">
        <v>101</v>
      </c>
      <c r="M138" s="16" t="str">
        <f aca="false">IFERROR(VLOOKUP(N138,Словарь!$A$2:$B$15,2,FALSE()),"Нужно решение")</f>
        <v>Выполнено, ждёт акта</v>
      </c>
      <c r="N138" s="10" t="s">
        <v>150</v>
      </c>
      <c r="O138" s="10" t="s">
        <v>151</v>
      </c>
      <c r="P138" s="22" t="str">
        <f aca="true">IF(AND(OR(M138="Не начато",M138="В работе",M138="Нужно решение"),C138&lt;TODAY()),TODAY()-C138,"")</f>
        <v/>
      </c>
      <c r="Q138" s="10" t="s">
        <v>143</v>
      </c>
      <c r="R138" s="10" t="s">
        <v>426</v>
      </c>
      <c r="S138" s="10"/>
      <c r="T138" s="10" t="s">
        <v>152</v>
      </c>
      <c r="U138" s="10" t="n">
        <v>156</v>
      </c>
    </row>
    <row r="139" customFormat="false" ht="23.85" hidden="false" customHeight="false" outlineLevel="0" collapsed="false">
      <c r="A139" s="10" t="n">
        <v>138</v>
      </c>
      <c r="B139" s="10" t="s">
        <v>88</v>
      </c>
      <c r="C139" s="21" t="n">
        <v>46295</v>
      </c>
      <c r="D139" s="10" t="s">
        <v>483</v>
      </c>
      <c r="E139" s="10" t="s">
        <v>113</v>
      </c>
      <c r="F139" s="10" t="s">
        <v>406</v>
      </c>
      <c r="G139" s="10" t="s">
        <v>136</v>
      </c>
      <c r="H139" s="10"/>
      <c r="I139" s="9" t="n">
        <v>125000</v>
      </c>
      <c r="J139" s="9"/>
      <c r="K139" s="10" t="s">
        <v>96</v>
      </c>
      <c r="L139" s="10" t="s">
        <v>104</v>
      </c>
      <c r="M139" s="16" t="str">
        <f aca="false">IFERROR(VLOOKUP(N139,Словарь!$A$2:$B$15,2,FALSE()),"Нужно решение")</f>
        <v>Выполнено, ждёт акта</v>
      </c>
      <c r="N139" s="10" t="s">
        <v>150</v>
      </c>
      <c r="O139" s="10" t="s">
        <v>151</v>
      </c>
      <c r="P139" s="22" t="str">
        <f aca="true">IF(AND(OR(M139="Не начато",M139="В работе",M139="Нужно решение"),C139&lt;TODAY()),TODAY()-C139,"")</f>
        <v/>
      </c>
      <c r="Q139" s="10"/>
      <c r="R139" s="10"/>
      <c r="S139" s="10"/>
      <c r="T139" s="10" t="s">
        <v>239</v>
      </c>
      <c r="U139" s="10" t="n">
        <v>162</v>
      </c>
    </row>
    <row r="140" customFormat="false" ht="23.85" hidden="false" customHeight="false" outlineLevel="0" collapsed="false">
      <c r="A140" s="10" t="n">
        <v>139</v>
      </c>
      <c r="B140" s="10" t="s">
        <v>88</v>
      </c>
      <c r="C140" s="21" t="n">
        <v>46295</v>
      </c>
      <c r="D140" s="10" t="s">
        <v>484</v>
      </c>
      <c r="E140" s="10" t="s">
        <v>112</v>
      </c>
      <c r="F140" s="10" t="s">
        <v>485</v>
      </c>
      <c r="G140" s="10" t="s">
        <v>245</v>
      </c>
      <c r="H140" s="10" t="s">
        <v>486</v>
      </c>
      <c r="I140" s="9"/>
      <c r="J140" s="9"/>
      <c r="K140" s="10" t="s">
        <v>95</v>
      </c>
      <c r="L140" s="10" t="s">
        <v>100</v>
      </c>
      <c r="M140" s="16" t="str">
        <f aca="false">IFERROR(VLOOKUP(N140,Словарь!$A$2:$B$15,2,FALSE()),"Нужно решение")</f>
        <v>Не начато</v>
      </c>
      <c r="N140" s="10" t="s">
        <v>10</v>
      </c>
      <c r="O140" s="10"/>
      <c r="P140" s="22" t="n">
        <f aca="true">IF(AND(OR(M140="Не начато",M140="В работе",M140="Нужно решение"),C140&lt;TODAY()),TODAY()-C140,"")</f>
        <v>27</v>
      </c>
      <c r="Q140" s="10" t="s">
        <v>238</v>
      </c>
      <c r="R140" s="10" t="s">
        <v>487</v>
      </c>
      <c r="S140" s="10"/>
      <c r="T140" s="10"/>
      <c r="U140" s="10" t="n">
        <v>159</v>
      </c>
    </row>
    <row r="141" customFormat="false" ht="23.85" hidden="false" customHeight="false" outlineLevel="0" collapsed="false">
      <c r="A141" s="10" t="n">
        <v>140</v>
      </c>
      <c r="B141" s="10" t="s">
        <v>88</v>
      </c>
      <c r="C141" s="21" t="n">
        <v>46295</v>
      </c>
      <c r="D141" s="10" t="s">
        <v>484</v>
      </c>
      <c r="E141" s="10" t="s">
        <v>112</v>
      </c>
      <c r="F141" s="10" t="s">
        <v>488</v>
      </c>
      <c r="G141" s="10" t="s">
        <v>245</v>
      </c>
      <c r="H141" s="10" t="s">
        <v>486</v>
      </c>
      <c r="I141" s="9"/>
      <c r="J141" s="9"/>
      <c r="K141" s="10" t="s">
        <v>95</v>
      </c>
      <c r="L141" s="10" t="s">
        <v>100</v>
      </c>
      <c r="M141" s="16" t="str">
        <f aca="false">IFERROR(VLOOKUP(N141,Словарь!$A$2:$B$15,2,FALSE()),"Нужно решение")</f>
        <v>Не начато</v>
      </c>
      <c r="N141" s="10" t="s">
        <v>10</v>
      </c>
      <c r="O141" s="10"/>
      <c r="P141" s="22" t="n">
        <f aca="true">IF(AND(OR(M141="Не начато",M141="В работе",M141="Нужно решение"),C141&lt;TODAY()),TODAY()-C141,"")</f>
        <v>27</v>
      </c>
      <c r="Q141" s="10" t="s">
        <v>238</v>
      </c>
      <c r="R141" s="10" t="s">
        <v>487</v>
      </c>
      <c r="S141" s="10"/>
      <c r="T141" s="10"/>
      <c r="U141" s="10" t="n">
        <v>160</v>
      </c>
    </row>
    <row r="142" customFormat="false" ht="23.85" hidden="false" customHeight="false" outlineLevel="0" collapsed="false">
      <c r="A142" s="10" t="n">
        <v>141</v>
      </c>
      <c r="B142" s="10" t="s">
        <v>88</v>
      </c>
      <c r="C142" s="21" t="n">
        <v>46295</v>
      </c>
      <c r="D142" s="10" t="s">
        <v>484</v>
      </c>
      <c r="E142" s="10" t="s">
        <v>112</v>
      </c>
      <c r="F142" s="10" t="s">
        <v>489</v>
      </c>
      <c r="G142" s="10" t="s">
        <v>142</v>
      </c>
      <c r="H142" s="10" t="s">
        <v>486</v>
      </c>
      <c r="I142" s="9"/>
      <c r="J142" s="9"/>
      <c r="K142" s="10" t="s">
        <v>95</v>
      </c>
      <c r="L142" s="10" t="s">
        <v>100</v>
      </c>
      <c r="M142" s="16" t="str">
        <f aca="false">IFERROR(VLOOKUP(N142,Словарь!$A$2:$B$15,2,FALSE()),"Нужно решение")</f>
        <v>Не начато</v>
      </c>
      <c r="N142" s="10" t="s">
        <v>10</v>
      </c>
      <c r="O142" s="10"/>
      <c r="P142" s="22" t="n">
        <f aca="true">IF(AND(OR(M142="Не начато",M142="В работе",M142="Нужно решение"),C142&lt;TODAY()),TODAY()-C142,"")</f>
        <v>27</v>
      </c>
      <c r="Q142" s="10" t="s">
        <v>238</v>
      </c>
      <c r="R142" s="10" t="s">
        <v>487</v>
      </c>
      <c r="S142" s="10"/>
      <c r="T142" s="10"/>
      <c r="U142" s="10" t="n">
        <v>161</v>
      </c>
    </row>
    <row r="143" customFormat="false" ht="23.85" hidden="false" customHeight="false" outlineLevel="0" collapsed="false">
      <c r="A143" s="10" t="n">
        <v>142</v>
      </c>
      <c r="B143" s="10" t="s">
        <v>88</v>
      </c>
      <c r="C143" s="21" t="n">
        <v>46295</v>
      </c>
      <c r="D143" s="10" t="s">
        <v>490</v>
      </c>
      <c r="E143" s="10" t="s">
        <v>112</v>
      </c>
      <c r="F143" s="10" t="s">
        <v>406</v>
      </c>
      <c r="G143" s="10" t="s">
        <v>136</v>
      </c>
      <c r="H143" s="10"/>
      <c r="I143" s="9" t="n">
        <v>125000</v>
      </c>
      <c r="J143" s="9"/>
      <c r="K143" s="10" t="s">
        <v>96</v>
      </c>
      <c r="L143" s="10" t="s">
        <v>106</v>
      </c>
      <c r="M143" s="16" t="str">
        <f aca="false">IFERROR(VLOOKUP(N143,Словарь!$A$2:$B$15,2,FALSE()),"Нужно решение")</f>
        <v>Выполнено, ждёт акта</v>
      </c>
      <c r="N143" s="10" t="s">
        <v>150</v>
      </c>
      <c r="O143" s="10" t="s">
        <v>491</v>
      </c>
      <c r="P143" s="22" t="str">
        <f aca="true">IF(AND(OR(M143="Не начато",M143="В работе",M143="Нужно решение"),C143&lt;TODAY()),TODAY()-C143,"")</f>
        <v/>
      </c>
      <c r="Q143" s="10" t="s">
        <v>238</v>
      </c>
      <c r="R143" s="10" t="s">
        <v>487</v>
      </c>
      <c r="S143" s="10"/>
      <c r="T143" s="10" t="s">
        <v>492</v>
      </c>
      <c r="U143" s="10" t="n">
        <v>163</v>
      </c>
    </row>
    <row r="144" customFormat="false" ht="23.85" hidden="false" customHeight="false" outlineLevel="0" collapsed="false">
      <c r="A144" s="10" t="n">
        <v>143</v>
      </c>
      <c r="B144" s="10" t="s">
        <v>88</v>
      </c>
      <c r="C144" s="21" t="n">
        <v>46295</v>
      </c>
      <c r="D144" s="10" t="s">
        <v>490</v>
      </c>
      <c r="E144" s="10" t="s">
        <v>112</v>
      </c>
      <c r="F144" s="10" t="s">
        <v>493</v>
      </c>
      <c r="G144" s="10" t="s">
        <v>174</v>
      </c>
      <c r="H144" s="10" t="s">
        <v>494</v>
      </c>
      <c r="I144" s="9"/>
      <c r="J144" s="9"/>
      <c r="K144" s="10" t="s">
        <v>96</v>
      </c>
      <c r="L144" s="10" t="s">
        <v>106</v>
      </c>
      <c r="M144" s="16" t="str">
        <f aca="false">IFERROR(VLOOKUP(N144,Словарь!$A$2:$B$15,2,FALSE()),"Нужно решение")</f>
        <v>Выполнено, ждёт акта</v>
      </c>
      <c r="N144" s="10" t="s">
        <v>150</v>
      </c>
      <c r="O144" s="10" t="s">
        <v>151</v>
      </c>
      <c r="P144" s="22" t="str">
        <f aca="true">IF(AND(OR(M144="Не начато",M144="В работе",M144="Нужно решение"),C144&lt;TODAY()),TODAY()-C144,"")</f>
        <v/>
      </c>
      <c r="Q144" s="10" t="s">
        <v>238</v>
      </c>
      <c r="R144" s="10" t="s">
        <v>487</v>
      </c>
      <c r="S144" s="10"/>
      <c r="T144" s="10" t="s">
        <v>495</v>
      </c>
      <c r="U144" s="10" t="n">
        <v>164</v>
      </c>
    </row>
    <row r="145" customFormat="false" ht="23.85" hidden="false" customHeight="false" outlineLevel="0" collapsed="false">
      <c r="A145" s="10" t="n">
        <v>144</v>
      </c>
      <c r="B145" s="10" t="s">
        <v>88</v>
      </c>
      <c r="C145" s="21" t="n">
        <v>46295</v>
      </c>
      <c r="D145" s="10" t="s">
        <v>490</v>
      </c>
      <c r="E145" s="10" t="s">
        <v>112</v>
      </c>
      <c r="F145" s="10" t="s">
        <v>496</v>
      </c>
      <c r="G145" s="10" t="s">
        <v>192</v>
      </c>
      <c r="H145" s="10" t="s">
        <v>497</v>
      </c>
      <c r="I145" s="9"/>
      <c r="J145" s="9"/>
      <c r="K145" s="10" t="s">
        <v>95</v>
      </c>
      <c r="L145" s="10" t="s">
        <v>100</v>
      </c>
      <c r="M145" s="16" t="str">
        <f aca="false">IFERROR(VLOOKUP(N145,Словарь!$A$2:$B$15,2,FALSE()),"Нужно решение")</f>
        <v>Не начато</v>
      </c>
      <c r="N145" s="10" t="s">
        <v>10</v>
      </c>
      <c r="O145" s="10"/>
      <c r="P145" s="22" t="n">
        <f aca="true">IF(AND(OR(M145="Не начато",M145="В работе",M145="Нужно решение"),C145&lt;TODAY()),TODAY()-C145,"")</f>
        <v>27</v>
      </c>
      <c r="Q145" s="10" t="s">
        <v>238</v>
      </c>
      <c r="R145" s="10" t="s">
        <v>487</v>
      </c>
      <c r="S145" s="10"/>
      <c r="T145" s="10"/>
      <c r="U145" s="10" t="n">
        <v>165</v>
      </c>
    </row>
    <row r="146" customFormat="false" ht="23.85" hidden="false" customHeight="false" outlineLevel="0" collapsed="false">
      <c r="A146" s="10" t="n">
        <v>145</v>
      </c>
      <c r="B146" s="10" t="s">
        <v>88</v>
      </c>
      <c r="C146" s="21" t="n">
        <v>46295</v>
      </c>
      <c r="D146" s="10" t="s">
        <v>498</v>
      </c>
      <c r="E146" s="10" t="s">
        <v>112</v>
      </c>
      <c r="F146" s="10" t="s">
        <v>406</v>
      </c>
      <c r="G146" s="10" t="s">
        <v>136</v>
      </c>
      <c r="H146" s="10"/>
      <c r="I146" s="9" t="n">
        <v>125000</v>
      </c>
      <c r="J146" s="9"/>
      <c r="K146" s="10" t="s">
        <v>96</v>
      </c>
      <c r="L146" s="10" t="s">
        <v>106</v>
      </c>
      <c r="M146" s="16" t="str">
        <f aca="false">IFERROR(VLOOKUP(N146,Словарь!$A$2:$B$15,2,FALSE()),"Нужно решение")</f>
        <v>Выполнено, ждёт акта</v>
      </c>
      <c r="N146" s="10" t="s">
        <v>150</v>
      </c>
      <c r="O146" s="10" t="s">
        <v>491</v>
      </c>
      <c r="P146" s="22" t="str">
        <f aca="true">IF(AND(OR(M146="Не начато",M146="В работе",M146="Нужно решение"),C146&lt;TODAY()),TODAY()-C146,"")</f>
        <v/>
      </c>
      <c r="Q146" s="10" t="s">
        <v>238</v>
      </c>
      <c r="R146" s="10" t="s">
        <v>487</v>
      </c>
      <c r="S146" s="10"/>
      <c r="T146" s="10" t="s">
        <v>492</v>
      </c>
      <c r="U146" s="10" t="n">
        <v>166</v>
      </c>
    </row>
    <row r="147" customFormat="false" ht="23.85" hidden="false" customHeight="false" outlineLevel="0" collapsed="false">
      <c r="A147" s="10" t="n">
        <v>146</v>
      </c>
      <c r="B147" s="10" t="s">
        <v>88</v>
      </c>
      <c r="C147" s="21" t="n">
        <v>46295</v>
      </c>
      <c r="D147" s="10" t="s">
        <v>328</v>
      </c>
      <c r="E147" s="10" t="s">
        <v>112</v>
      </c>
      <c r="F147" s="10" t="s">
        <v>499</v>
      </c>
      <c r="G147" s="10" t="s">
        <v>136</v>
      </c>
      <c r="H147" s="10" t="s">
        <v>500</v>
      </c>
      <c r="I147" s="9"/>
      <c r="J147" s="9"/>
      <c r="K147" s="10" t="s">
        <v>95</v>
      </c>
      <c r="L147" s="10" t="s">
        <v>100</v>
      </c>
      <c r="M147" s="16" t="str">
        <f aca="false">IFERROR(VLOOKUP(N147,Словарь!$A$2:$B$15,2,FALSE()),"Нужно решение")</f>
        <v>Выполнено, ждёт акта</v>
      </c>
      <c r="N147" s="10" t="s">
        <v>150</v>
      </c>
      <c r="O147" s="10"/>
      <c r="P147" s="22" t="str">
        <f aca="true">IF(AND(OR(M147="Не начато",M147="В работе",M147="Нужно решение"),C147&lt;TODAY()),TODAY()-C147,"")</f>
        <v/>
      </c>
      <c r="Q147" s="10" t="s">
        <v>238</v>
      </c>
      <c r="R147" s="10" t="s">
        <v>487</v>
      </c>
      <c r="S147" s="10"/>
      <c r="T147" s="10" t="s">
        <v>319</v>
      </c>
      <c r="U147" s="10" t="n">
        <v>167</v>
      </c>
    </row>
    <row r="148" customFormat="false" ht="23.85" hidden="false" customHeight="false" outlineLevel="0" collapsed="false">
      <c r="A148" s="10" t="n">
        <v>147</v>
      </c>
      <c r="B148" s="10" t="s">
        <v>88</v>
      </c>
      <c r="C148" s="21" t="n">
        <v>46295</v>
      </c>
      <c r="D148" s="10" t="s">
        <v>501</v>
      </c>
      <c r="E148" s="10" t="s">
        <v>112</v>
      </c>
      <c r="F148" s="10" t="s">
        <v>406</v>
      </c>
      <c r="G148" s="10" t="s">
        <v>136</v>
      </c>
      <c r="H148" s="10"/>
      <c r="I148" s="9" t="n">
        <v>125000</v>
      </c>
      <c r="J148" s="9" t="n">
        <v>145674.15</v>
      </c>
      <c r="K148" s="10" t="s">
        <v>96</v>
      </c>
      <c r="L148" s="10" t="s">
        <v>106</v>
      </c>
      <c r="M148" s="16" t="str">
        <f aca="false">IFERROR(VLOOKUP(N148,Словарь!$A$2:$B$15,2,FALSE()),"Нужно решение")</f>
        <v>Принято с актом</v>
      </c>
      <c r="N148" s="10" t="s">
        <v>138</v>
      </c>
      <c r="O148" s="10" t="s">
        <v>155</v>
      </c>
      <c r="P148" s="22" t="str">
        <f aca="true">IF(AND(OR(M148="Не начато",M148="В работе",M148="Нужно решение"),C148&lt;TODAY()),TODAY()-C148,"")</f>
        <v/>
      </c>
      <c r="Q148" s="10" t="s">
        <v>143</v>
      </c>
      <c r="R148" s="10" t="s">
        <v>502</v>
      </c>
      <c r="S148" s="10"/>
      <c r="T148" s="10" t="s">
        <v>145</v>
      </c>
      <c r="U148" s="10" t="n">
        <v>168</v>
      </c>
    </row>
    <row r="149" customFormat="false" ht="35.05" hidden="false" customHeight="false" outlineLevel="0" collapsed="false">
      <c r="A149" s="10" t="n">
        <v>148</v>
      </c>
      <c r="B149" s="10" t="s">
        <v>88</v>
      </c>
      <c r="C149" s="21" t="n">
        <v>46295</v>
      </c>
      <c r="D149" s="10" t="s">
        <v>214</v>
      </c>
      <c r="E149" s="10" t="s">
        <v>112</v>
      </c>
      <c r="F149" s="10" t="s">
        <v>503</v>
      </c>
      <c r="G149" s="10" t="s">
        <v>174</v>
      </c>
      <c r="H149" s="10" t="s">
        <v>504</v>
      </c>
      <c r="I149" s="9"/>
      <c r="J149" s="9"/>
      <c r="K149" s="10" t="s">
        <v>96</v>
      </c>
      <c r="L149" s="10" t="s">
        <v>102</v>
      </c>
      <c r="M149" s="16" t="str">
        <f aca="false">IFERROR(VLOOKUP(N149,Словарь!$A$2:$B$15,2,FALSE()),"Нужно решение")</f>
        <v>В работе</v>
      </c>
      <c r="N149" s="10" t="s">
        <v>505</v>
      </c>
      <c r="O149" s="10"/>
      <c r="P149" s="22" t="n">
        <f aca="true">IF(AND(OR(M149="Не начато",M149="В работе",M149="Нужно решение"),C149&lt;TODAY()),TODAY()-C149,"")</f>
        <v>27</v>
      </c>
      <c r="Q149" s="10" t="s">
        <v>238</v>
      </c>
      <c r="R149" s="10" t="s">
        <v>487</v>
      </c>
      <c r="S149" s="10"/>
      <c r="T149" s="10" t="s">
        <v>506</v>
      </c>
      <c r="U149" s="10" t="n">
        <v>169</v>
      </c>
    </row>
    <row r="150" customFormat="false" ht="23.85" hidden="false" customHeight="false" outlineLevel="0" collapsed="false">
      <c r="A150" s="10" t="n">
        <v>149</v>
      </c>
      <c r="B150" s="10" t="s">
        <v>88</v>
      </c>
      <c r="C150" s="21" t="n">
        <v>46295</v>
      </c>
      <c r="D150" s="10" t="s">
        <v>214</v>
      </c>
      <c r="E150" s="10" t="s">
        <v>112</v>
      </c>
      <c r="F150" s="10" t="s">
        <v>507</v>
      </c>
      <c r="G150" s="10" t="s">
        <v>174</v>
      </c>
      <c r="H150" s="10" t="s">
        <v>508</v>
      </c>
      <c r="I150" s="9"/>
      <c r="J150" s="9"/>
      <c r="K150" s="10" t="s">
        <v>95</v>
      </c>
      <c r="L150" s="10" t="s">
        <v>102</v>
      </c>
      <c r="M150" s="16" t="str">
        <f aca="false">IFERROR(VLOOKUP(N150,Словарь!$A$2:$B$15,2,FALSE()),"Нужно решение")</f>
        <v>Выполнено, ждёт акта</v>
      </c>
      <c r="N150" s="10" t="s">
        <v>150</v>
      </c>
      <c r="O150" s="10"/>
      <c r="P150" s="22" t="str">
        <f aca="true">IF(AND(OR(M150="Не начато",M150="В работе",M150="Нужно решение"),C150&lt;TODAY()),TODAY()-C150,"")</f>
        <v/>
      </c>
      <c r="Q150" s="10" t="s">
        <v>238</v>
      </c>
      <c r="R150" s="10" t="s">
        <v>487</v>
      </c>
      <c r="S150" s="10"/>
      <c r="T150" s="10" t="s">
        <v>319</v>
      </c>
      <c r="U150" s="10" t="n">
        <v>170</v>
      </c>
    </row>
    <row r="151" customFormat="false" ht="23.85" hidden="false" customHeight="false" outlineLevel="0" collapsed="false">
      <c r="A151" s="10" t="n">
        <v>150</v>
      </c>
      <c r="B151" s="10" t="s">
        <v>88</v>
      </c>
      <c r="C151" s="21" t="n">
        <v>46295</v>
      </c>
      <c r="D151" s="10" t="s">
        <v>214</v>
      </c>
      <c r="E151" s="10" t="s">
        <v>112</v>
      </c>
      <c r="F151" s="10" t="s">
        <v>509</v>
      </c>
      <c r="G151" s="10" t="s">
        <v>142</v>
      </c>
      <c r="H151" s="10"/>
      <c r="I151" s="9"/>
      <c r="J151" s="9"/>
      <c r="K151" s="10" t="s">
        <v>95</v>
      </c>
      <c r="L151" s="10" t="s">
        <v>102</v>
      </c>
      <c r="M151" s="16" t="str">
        <f aca="false">IFERROR(VLOOKUP(N151,Словарь!$A$2:$B$15,2,FALSE()),"Нужно решение")</f>
        <v>Не начато</v>
      </c>
      <c r="N151" s="10" t="s">
        <v>10</v>
      </c>
      <c r="O151" s="10"/>
      <c r="P151" s="22" t="n">
        <f aca="true">IF(AND(OR(M151="Не начато",M151="В работе",M151="Нужно решение"),C151&lt;TODAY()),TODAY()-C151,"")</f>
        <v>27</v>
      </c>
      <c r="Q151" s="10" t="s">
        <v>238</v>
      </c>
      <c r="R151" s="10" t="s">
        <v>487</v>
      </c>
      <c r="S151" s="10"/>
      <c r="T151" s="10"/>
      <c r="U151" s="10" t="n">
        <v>171</v>
      </c>
    </row>
    <row r="152" customFormat="false" ht="23.85" hidden="false" customHeight="false" outlineLevel="0" collapsed="false">
      <c r="A152" s="10" t="n">
        <v>151</v>
      </c>
      <c r="B152" s="10" t="s">
        <v>88</v>
      </c>
      <c r="C152" s="21" t="n">
        <v>46295</v>
      </c>
      <c r="D152" s="10" t="s">
        <v>510</v>
      </c>
      <c r="E152" s="10" t="s">
        <v>112</v>
      </c>
      <c r="F152" s="10" t="s">
        <v>511</v>
      </c>
      <c r="G152" s="10" t="s">
        <v>174</v>
      </c>
      <c r="H152" s="10" t="s">
        <v>512</v>
      </c>
      <c r="I152" s="9" t="n">
        <v>15000</v>
      </c>
      <c r="J152" s="9" t="n">
        <v>26598.75</v>
      </c>
      <c r="K152" s="10" t="s">
        <v>96</v>
      </c>
      <c r="L152" s="10" t="s">
        <v>102</v>
      </c>
      <c r="M152" s="16" t="str">
        <f aca="false">IFERROR(VLOOKUP(N152,Словарь!$A$2:$B$15,2,FALSE()),"Нужно решение")</f>
        <v>Принято с актом</v>
      </c>
      <c r="N152" s="10" t="s">
        <v>138</v>
      </c>
      <c r="O152" s="10" t="s">
        <v>155</v>
      </c>
      <c r="P152" s="22" t="str">
        <f aca="true">IF(AND(OR(M152="Не начато",M152="В работе",M152="Нужно решение"),C152&lt;TODAY()),TODAY()-C152,"")</f>
        <v/>
      </c>
      <c r="Q152" s="10" t="s">
        <v>143</v>
      </c>
      <c r="R152" s="10" t="s">
        <v>502</v>
      </c>
      <c r="S152" s="10"/>
      <c r="T152" s="10" t="s">
        <v>145</v>
      </c>
      <c r="U152" s="10" t="n">
        <v>172</v>
      </c>
    </row>
    <row r="153" customFormat="false" ht="23.85" hidden="false" customHeight="false" outlineLevel="0" collapsed="false">
      <c r="A153" s="10" t="n">
        <v>152</v>
      </c>
      <c r="B153" s="10" t="s">
        <v>88</v>
      </c>
      <c r="C153" s="21" t="n">
        <v>46295</v>
      </c>
      <c r="D153" s="10" t="s">
        <v>510</v>
      </c>
      <c r="E153" s="10" t="s">
        <v>112</v>
      </c>
      <c r="F153" s="10" t="s">
        <v>513</v>
      </c>
      <c r="G153" s="10" t="s">
        <v>188</v>
      </c>
      <c r="H153" s="10" t="s">
        <v>514</v>
      </c>
      <c r="I153" s="9"/>
      <c r="J153" s="9"/>
      <c r="K153" s="10" t="s">
        <v>96</v>
      </c>
      <c r="L153" s="10" t="s">
        <v>102</v>
      </c>
      <c r="M153" s="16" t="str">
        <f aca="false">IFERROR(VLOOKUP(N153,Словарь!$A$2:$B$15,2,FALSE()),"Нужно решение")</f>
        <v>Выполнено, ждёт акта</v>
      </c>
      <c r="N153" s="10" t="s">
        <v>150</v>
      </c>
      <c r="O153" s="10" t="s">
        <v>151</v>
      </c>
      <c r="P153" s="22" t="str">
        <f aca="true">IF(AND(OR(M153="Не начато",M153="В работе",M153="Нужно решение"),C153&lt;TODAY()),TODAY()-C153,"")</f>
        <v/>
      </c>
      <c r="Q153" s="10" t="s">
        <v>238</v>
      </c>
      <c r="R153" s="10" t="s">
        <v>487</v>
      </c>
      <c r="S153" s="10"/>
      <c r="T153" s="10" t="s">
        <v>495</v>
      </c>
      <c r="U153" s="10" t="n">
        <v>173</v>
      </c>
    </row>
    <row r="154" customFormat="false" ht="23.85" hidden="false" customHeight="false" outlineLevel="0" collapsed="false">
      <c r="A154" s="10" t="n">
        <v>153</v>
      </c>
      <c r="B154" s="10" t="s">
        <v>88</v>
      </c>
      <c r="C154" s="21" t="n">
        <v>46295</v>
      </c>
      <c r="D154" s="10" t="s">
        <v>510</v>
      </c>
      <c r="E154" s="10" t="s">
        <v>112</v>
      </c>
      <c r="F154" s="10" t="s">
        <v>515</v>
      </c>
      <c r="G154" s="10" t="s">
        <v>192</v>
      </c>
      <c r="H154" s="10" t="s">
        <v>516</v>
      </c>
      <c r="I154" s="9"/>
      <c r="J154" s="9"/>
      <c r="K154" s="10" t="s">
        <v>95</v>
      </c>
      <c r="L154" s="10" t="s">
        <v>102</v>
      </c>
      <c r="M154" s="16" t="str">
        <f aca="false">IFERROR(VLOOKUP(N154,Словарь!$A$2:$B$15,2,FALSE()),"Нужно решение")</f>
        <v>Не начато</v>
      </c>
      <c r="N154" s="10" t="s">
        <v>10</v>
      </c>
      <c r="O154" s="10"/>
      <c r="P154" s="22" t="n">
        <f aca="true">IF(AND(OR(M154="Не начато",M154="В работе",M154="Нужно решение"),C154&lt;TODAY()),TODAY()-C154,"")</f>
        <v>27</v>
      </c>
      <c r="Q154" s="10" t="s">
        <v>238</v>
      </c>
      <c r="R154" s="10" t="s">
        <v>487</v>
      </c>
      <c r="S154" s="10"/>
      <c r="T154" s="10"/>
      <c r="U154" s="10" t="n">
        <v>174</v>
      </c>
    </row>
    <row r="155" customFormat="false" ht="23.85" hidden="false" customHeight="false" outlineLevel="0" collapsed="false">
      <c r="A155" s="10" t="n">
        <v>154</v>
      </c>
      <c r="B155" s="10" t="s">
        <v>88</v>
      </c>
      <c r="C155" s="21" t="n">
        <v>46295</v>
      </c>
      <c r="D155" s="10" t="s">
        <v>510</v>
      </c>
      <c r="E155" s="10" t="s">
        <v>112</v>
      </c>
      <c r="F155" s="10" t="s">
        <v>517</v>
      </c>
      <c r="G155" s="10" t="s">
        <v>192</v>
      </c>
      <c r="H155" s="10" t="s">
        <v>518</v>
      </c>
      <c r="I155" s="9"/>
      <c r="J155" s="9"/>
      <c r="K155" s="10" t="s">
        <v>95</v>
      </c>
      <c r="L155" s="10" t="s">
        <v>102</v>
      </c>
      <c r="M155" s="16" t="str">
        <f aca="false">IFERROR(VLOOKUP(N155,Словарь!$A$2:$B$15,2,FALSE()),"Нужно решение")</f>
        <v>Не начато</v>
      </c>
      <c r="N155" s="10" t="s">
        <v>10</v>
      </c>
      <c r="O155" s="10"/>
      <c r="P155" s="22" t="n">
        <f aca="true">IF(AND(OR(M155="Не начато",M155="В работе",M155="Нужно решение"),C155&lt;TODAY()),TODAY()-C155,"")</f>
        <v>27</v>
      </c>
      <c r="Q155" s="10" t="s">
        <v>238</v>
      </c>
      <c r="R155" s="10" t="s">
        <v>487</v>
      </c>
      <c r="S155" s="10"/>
      <c r="T155" s="10"/>
      <c r="U155" s="10" t="n">
        <v>175</v>
      </c>
    </row>
    <row r="156" customFormat="false" ht="23.85" hidden="false" customHeight="false" outlineLevel="0" collapsed="false">
      <c r="A156" s="10" t="n">
        <v>155</v>
      </c>
      <c r="B156" s="10" t="s">
        <v>88</v>
      </c>
      <c r="C156" s="21" t="n">
        <v>46295</v>
      </c>
      <c r="D156" s="10" t="s">
        <v>510</v>
      </c>
      <c r="E156" s="10" t="s">
        <v>112</v>
      </c>
      <c r="F156" s="10" t="s">
        <v>519</v>
      </c>
      <c r="G156" s="10" t="s">
        <v>192</v>
      </c>
      <c r="H156" s="10" t="s">
        <v>520</v>
      </c>
      <c r="I156" s="9"/>
      <c r="J156" s="9"/>
      <c r="K156" s="10" t="s">
        <v>95</v>
      </c>
      <c r="L156" s="10" t="s">
        <v>102</v>
      </c>
      <c r="M156" s="16" t="str">
        <f aca="false">IFERROR(VLOOKUP(N156,Словарь!$A$2:$B$15,2,FALSE()),"Нужно решение")</f>
        <v>Не начато</v>
      </c>
      <c r="N156" s="10" t="s">
        <v>10</v>
      </c>
      <c r="O156" s="10"/>
      <c r="P156" s="22" t="n">
        <f aca="true">IF(AND(OR(M156="Не начато",M156="В работе",M156="Нужно решение"),C156&lt;TODAY()),TODAY()-C156,"")</f>
        <v>27</v>
      </c>
      <c r="Q156" s="10" t="s">
        <v>238</v>
      </c>
      <c r="R156" s="10" t="s">
        <v>487</v>
      </c>
      <c r="S156" s="10"/>
      <c r="T156" s="10"/>
      <c r="U156" s="10" t="n">
        <v>176</v>
      </c>
    </row>
    <row r="157" customFormat="false" ht="23.85" hidden="false" customHeight="false" outlineLevel="0" collapsed="false">
      <c r="A157" s="10" t="n">
        <v>156</v>
      </c>
      <c r="B157" s="10" t="s">
        <v>88</v>
      </c>
      <c r="C157" s="21" t="n">
        <v>46295</v>
      </c>
      <c r="D157" s="10" t="s">
        <v>267</v>
      </c>
      <c r="E157" s="10" t="s">
        <v>112</v>
      </c>
      <c r="F157" s="10" t="s">
        <v>521</v>
      </c>
      <c r="G157" s="10" t="s">
        <v>169</v>
      </c>
      <c r="H157" s="10"/>
      <c r="I157" s="9" t="n">
        <v>20000</v>
      </c>
      <c r="J157" s="9"/>
      <c r="K157" s="10" t="s">
        <v>96</v>
      </c>
      <c r="L157" s="10" t="s">
        <v>102</v>
      </c>
      <c r="M157" s="16" t="str">
        <f aca="false">IFERROR(VLOOKUP(N157,Словарь!$A$2:$B$15,2,FALSE()),"Нужно решение")</f>
        <v>Отложено на зиму</v>
      </c>
      <c r="N157" s="10" t="s">
        <v>22</v>
      </c>
      <c r="O157" s="10"/>
      <c r="P157" s="22" t="str">
        <f aca="true">IF(AND(OR(M157="Не начато",M157="В работе",M157="Нужно решение"),C157&lt;TODAY()),TODAY()-C157,"")</f>
        <v/>
      </c>
      <c r="Q157" s="10" t="s">
        <v>238</v>
      </c>
      <c r="R157" s="10" t="s">
        <v>487</v>
      </c>
      <c r="S157" s="10"/>
      <c r="T157" s="10" t="s">
        <v>522</v>
      </c>
      <c r="U157" s="10" t="n">
        <v>177</v>
      </c>
    </row>
    <row r="158" customFormat="false" ht="23.85" hidden="false" customHeight="false" outlineLevel="0" collapsed="false">
      <c r="A158" s="10" t="n">
        <v>157</v>
      </c>
      <c r="B158" s="10" t="s">
        <v>88</v>
      </c>
      <c r="C158" s="21" t="n">
        <v>46295</v>
      </c>
      <c r="D158" s="10" t="s">
        <v>267</v>
      </c>
      <c r="E158" s="10" t="s">
        <v>112</v>
      </c>
      <c r="F158" s="10" t="s">
        <v>523</v>
      </c>
      <c r="G158" s="10" t="s">
        <v>174</v>
      </c>
      <c r="H158" s="10"/>
      <c r="I158" s="9" t="n">
        <v>20000</v>
      </c>
      <c r="J158" s="9"/>
      <c r="K158" s="10" t="s">
        <v>96</v>
      </c>
      <c r="L158" s="10" t="s">
        <v>102</v>
      </c>
      <c r="M158" s="16" t="str">
        <f aca="false">IFERROR(VLOOKUP(N158,Словарь!$A$2:$B$15,2,FALSE()),"Нужно решение")</f>
        <v>Снято с плана</v>
      </c>
      <c r="N158" s="10" t="s">
        <v>164</v>
      </c>
      <c r="O158" s="10"/>
      <c r="P158" s="22" t="str">
        <f aca="true">IF(AND(OR(M158="Не начато",M158="В работе",M158="Нужно решение"),C158&lt;TODAY()),TODAY()-C158,"")</f>
        <v/>
      </c>
      <c r="Q158" s="10" t="s">
        <v>165</v>
      </c>
      <c r="R158" s="10" t="s">
        <v>487</v>
      </c>
      <c r="S158" s="10"/>
      <c r="T158" s="10" t="s">
        <v>166</v>
      </c>
      <c r="U158" s="10" t="n">
        <v>178</v>
      </c>
    </row>
    <row r="159" customFormat="false" ht="23.85" hidden="false" customHeight="false" outlineLevel="0" collapsed="false">
      <c r="A159" s="10" t="n">
        <v>158</v>
      </c>
      <c r="B159" s="10" t="s">
        <v>88</v>
      </c>
      <c r="C159" s="21" t="n">
        <v>46295</v>
      </c>
      <c r="D159" s="10" t="s">
        <v>134</v>
      </c>
      <c r="E159" s="10" t="s">
        <v>112</v>
      </c>
      <c r="F159" s="10" t="s">
        <v>524</v>
      </c>
      <c r="G159" s="10" t="s">
        <v>188</v>
      </c>
      <c r="H159" s="10" t="s">
        <v>525</v>
      </c>
      <c r="I159" s="9"/>
      <c r="J159" s="9"/>
      <c r="K159" s="10" t="s">
        <v>96</v>
      </c>
      <c r="L159" s="10" t="s">
        <v>102</v>
      </c>
      <c r="M159" s="16" t="str">
        <f aca="false">IFERROR(VLOOKUP(N159,Словарь!$A$2:$B$15,2,FALSE()),"Нужно решение")</f>
        <v>Выполнено, ждёт акта</v>
      </c>
      <c r="N159" s="10" t="s">
        <v>150</v>
      </c>
      <c r="O159" s="10" t="s">
        <v>151</v>
      </c>
      <c r="P159" s="22" t="str">
        <f aca="true">IF(AND(OR(M159="Не начато",M159="В работе",M159="Нужно решение"),C159&lt;TODAY()),TODAY()-C159,"")</f>
        <v/>
      </c>
      <c r="Q159" s="10" t="s">
        <v>238</v>
      </c>
      <c r="R159" s="10" t="s">
        <v>487</v>
      </c>
      <c r="S159" s="10"/>
      <c r="T159" s="10" t="s">
        <v>495</v>
      </c>
      <c r="U159" s="10" t="n">
        <v>179</v>
      </c>
    </row>
    <row r="160" customFormat="false" ht="23.85" hidden="false" customHeight="false" outlineLevel="0" collapsed="false">
      <c r="A160" s="10" t="n">
        <v>159</v>
      </c>
      <c r="B160" s="10" t="s">
        <v>88</v>
      </c>
      <c r="C160" s="21" t="n">
        <v>46295</v>
      </c>
      <c r="D160" s="10" t="s">
        <v>134</v>
      </c>
      <c r="E160" s="10" t="s">
        <v>112</v>
      </c>
      <c r="F160" s="10" t="s">
        <v>526</v>
      </c>
      <c r="G160" s="10" t="s">
        <v>192</v>
      </c>
      <c r="H160" s="10" t="s">
        <v>527</v>
      </c>
      <c r="I160" s="9" t="n">
        <v>75000</v>
      </c>
      <c r="J160" s="9"/>
      <c r="K160" s="10" t="s">
        <v>95</v>
      </c>
      <c r="L160" s="10" t="s">
        <v>102</v>
      </c>
      <c r="M160" s="16" t="str">
        <f aca="false">IFERROR(VLOOKUP(N160,Словарь!$A$2:$B$15,2,FALSE()),"Нужно решение")</f>
        <v>Не начато</v>
      </c>
      <c r="N160" s="10" t="s">
        <v>10</v>
      </c>
      <c r="O160" s="10"/>
      <c r="P160" s="22" t="n">
        <f aca="true">IF(AND(OR(M160="Не начато",M160="В работе",M160="Нужно решение"),C160&lt;TODAY()),TODAY()-C160,"")</f>
        <v>27</v>
      </c>
      <c r="Q160" s="10" t="s">
        <v>238</v>
      </c>
      <c r="R160" s="10" t="s">
        <v>487</v>
      </c>
      <c r="S160" s="10"/>
      <c r="T160" s="10"/>
      <c r="U160" s="10" t="n">
        <v>180</v>
      </c>
    </row>
    <row r="161" customFormat="false" ht="23.85" hidden="false" customHeight="false" outlineLevel="0" collapsed="false">
      <c r="A161" s="10" t="n">
        <v>160</v>
      </c>
      <c r="B161" s="10" t="s">
        <v>88</v>
      </c>
      <c r="C161" s="21" t="n">
        <v>46295</v>
      </c>
      <c r="D161" s="10" t="s">
        <v>134</v>
      </c>
      <c r="E161" s="10" t="s">
        <v>112</v>
      </c>
      <c r="F161" s="10" t="s">
        <v>528</v>
      </c>
      <c r="G161" s="10" t="s">
        <v>192</v>
      </c>
      <c r="H161" s="10" t="s">
        <v>529</v>
      </c>
      <c r="I161" s="9"/>
      <c r="J161" s="9"/>
      <c r="K161" s="10" t="s">
        <v>95</v>
      </c>
      <c r="L161" s="10" t="s">
        <v>102</v>
      </c>
      <c r="M161" s="16" t="str">
        <f aca="false">IFERROR(VLOOKUP(N161,Словарь!$A$2:$B$15,2,FALSE()),"Нужно решение")</f>
        <v>Не начато</v>
      </c>
      <c r="N161" s="10" t="s">
        <v>10</v>
      </c>
      <c r="O161" s="10"/>
      <c r="P161" s="22" t="n">
        <f aca="true">IF(AND(OR(M161="Не начато",M161="В работе",M161="Нужно решение"),C161&lt;TODAY()),TODAY()-C161,"")</f>
        <v>27</v>
      </c>
      <c r="Q161" s="10" t="s">
        <v>238</v>
      </c>
      <c r="R161" s="10" t="s">
        <v>487</v>
      </c>
      <c r="S161" s="10"/>
      <c r="T161" s="10"/>
      <c r="U161" s="10" t="n">
        <v>181</v>
      </c>
    </row>
    <row r="162" customFormat="false" ht="23.85" hidden="false" customHeight="false" outlineLevel="0" collapsed="false">
      <c r="A162" s="10" t="n">
        <v>161</v>
      </c>
      <c r="B162" s="10" t="s">
        <v>88</v>
      </c>
      <c r="C162" s="21" t="n">
        <v>46295</v>
      </c>
      <c r="D162" s="10" t="s">
        <v>134</v>
      </c>
      <c r="E162" s="10" t="s">
        <v>112</v>
      </c>
      <c r="F162" s="10" t="s">
        <v>530</v>
      </c>
      <c r="G162" s="10" t="s">
        <v>192</v>
      </c>
      <c r="H162" s="10" t="s">
        <v>531</v>
      </c>
      <c r="I162" s="9" t="n">
        <v>75000</v>
      </c>
      <c r="J162" s="9"/>
      <c r="K162" s="10" t="s">
        <v>95</v>
      </c>
      <c r="L162" s="10" t="s">
        <v>102</v>
      </c>
      <c r="M162" s="16" t="str">
        <f aca="false">IFERROR(VLOOKUP(N162,Словарь!$A$2:$B$15,2,FALSE()),"Нужно решение")</f>
        <v>Не начато</v>
      </c>
      <c r="N162" s="10" t="s">
        <v>10</v>
      </c>
      <c r="O162" s="10"/>
      <c r="P162" s="22" t="n">
        <f aca="true">IF(AND(OR(M162="Не начато",M162="В работе",M162="Нужно решение"),C162&lt;TODAY()),TODAY()-C162,"")</f>
        <v>27</v>
      </c>
      <c r="Q162" s="10" t="s">
        <v>238</v>
      </c>
      <c r="R162" s="10" t="s">
        <v>487</v>
      </c>
      <c r="S162" s="10"/>
      <c r="T162" s="10"/>
      <c r="U162" s="10" t="n">
        <v>182</v>
      </c>
    </row>
    <row r="163" customFormat="false" ht="23.85" hidden="false" customHeight="false" outlineLevel="0" collapsed="false">
      <c r="A163" s="10" t="n">
        <v>162</v>
      </c>
      <c r="B163" s="10" t="s">
        <v>88</v>
      </c>
      <c r="C163" s="21" t="n">
        <v>46295</v>
      </c>
      <c r="D163" s="10" t="s">
        <v>134</v>
      </c>
      <c r="E163" s="10" t="s">
        <v>112</v>
      </c>
      <c r="F163" s="10" t="s">
        <v>532</v>
      </c>
      <c r="G163" s="10" t="s">
        <v>188</v>
      </c>
      <c r="H163" s="10" t="s">
        <v>514</v>
      </c>
      <c r="I163" s="9"/>
      <c r="J163" s="9"/>
      <c r="K163" s="10" t="s">
        <v>96</v>
      </c>
      <c r="L163" s="10" t="s">
        <v>102</v>
      </c>
      <c r="M163" s="16" t="str">
        <f aca="false">IFERROR(VLOOKUP(N163,Словарь!$A$2:$B$15,2,FALSE()),"Нужно решение")</f>
        <v>Выполнено, ждёт акта</v>
      </c>
      <c r="N163" s="10" t="s">
        <v>150</v>
      </c>
      <c r="O163" s="10" t="s">
        <v>151</v>
      </c>
      <c r="P163" s="22" t="str">
        <f aca="true">IF(AND(OR(M163="Не начато",M163="В работе",M163="Нужно решение"),C163&lt;TODAY()),TODAY()-C163,"")</f>
        <v/>
      </c>
      <c r="Q163" s="10" t="s">
        <v>238</v>
      </c>
      <c r="R163" s="10" t="s">
        <v>487</v>
      </c>
      <c r="S163" s="10"/>
      <c r="T163" s="10" t="s">
        <v>495</v>
      </c>
      <c r="U163" s="10" t="n">
        <v>183</v>
      </c>
    </row>
    <row r="164" customFormat="false" ht="23.85" hidden="false" customHeight="false" outlineLevel="0" collapsed="false">
      <c r="A164" s="10" t="n">
        <v>163</v>
      </c>
      <c r="B164" s="10" t="s">
        <v>88</v>
      </c>
      <c r="C164" s="21" t="n">
        <v>46295</v>
      </c>
      <c r="D164" s="10" t="s">
        <v>134</v>
      </c>
      <c r="E164" s="10" t="s">
        <v>112</v>
      </c>
      <c r="F164" s="10" t="s">
        <v>533</v>
      </c>
      <c r="G164" s="10" t="s">
        <v>188</v>
      </c>
      <c r="H164" s="10" t="s">
        <v>529</v>
      </c>
      <c r="I164" s="9"/>
      <c r="J164" s="9"/>
      <c r="K164" s="10" t="s">
        <v>96</v>
      </c>
      <c r="L164" s="10" t="s">
        <v>102</v>
      </c>
      <c r="M164" s="16" t="str">
        <f aca="false">IFERROR(VLOOKUP(N164,Словарь!$A$2:$B$15,2,FALSE()),"Нужно решение")</f>
        <v>Выполнено, ждёт акта</v>
      </c>
      <c r="N164" s="10" t="s">
        <v>150</v>
      </c>
      <c r="O164" s="10" t="s">
        <v>151</v>
      </c>
      <c r="P164" s="22" t="str">
        <f aca="true">IF(AND(OR(M164="Не начато",M164="В работе",M164="Нужно решение"),C164&lt;TODAY()),TODAY()-C164,"")</f>
        <v/>
      </c>
      <c r="Q164" s="10" t="s">
        <v>238</v>
      </c>
      <c r="R164" s="10" t="s">
        <v>487</v>
      </c>
      <c r="S164" s="10" t="s">
        <v>534</v>
      </c>
      <c r="T164" s="10" t="s">
        <v>495</v>
      </c>
      <c r="U164" s="10"/>
    </row>
    <row r="165" customFormat="false" ht="23.85" hidden="false" customHeight="false" outlineLevel="0" collapsed="false">
      <c r="A165" s="10" t="n">
        <v>164</v>
      </c>
      <c r="B165" s="10" t="s">
        <v>88</v>
      </c>
      <c r="C165" s="21" t="n">
        <v>46295</v>
      </c>
      <c r="D165" s="10" t="s">
        <v>535</v>
      </c>
      <c r="E165" s="10" t="s">
        <v>112</v>
      </c>
      <c r="F165" s="10" t="s">
        <v>536</v>
      </c>
      <c r="G165" s="10" t="s">
        <v>188</v>
      </c>
      <c r="H165" s="10" t="s">
        <v>537</v>
      </c>
      <c r="I165" s="9"/>
      <c r="J165" s="9"/>
      <c r="K165" s="10" t="s">
        <v>96</v>
      </c>
      <c r="L165" s="10" t="s">
        <v>105</v>
      </c>
      <c r="M165" s="16" t="str">
        <f aca="false">IFERROR(VLOOKUP(N165,Словарь!$A$2:$B$15,2,FALSE()),"Нужно решение")</f>
        <v>Выполнено, ждёт акта</v>
      </c>
      <c r="N165" s="10" t="s">
        <v>150</v>
      </c>
      <c r="O165" s="10" t="s">
        <v>171</v>
      </c>
      <c r="P165" s="22" t="str">
        <f aca="true">IF(AND(OR(M165="Не начато",M165="В работе",M165="Нужно решение"),C165&lt;TODAY()),TODAY()-C165,"")</f>
        <v/>
      </c>
      <c r="Q165" s="10" t="s">
        <v>238</v>
      </c>
      <c r="R165" s="10" t="s">
        <v>487</v>
      </c>
      <c r="S165" s="10"/>
      <c r="T165" s="10" t="s">
        <v>239</v>
      </c>
      <c r="U165" s="10" t="n">
        <v>184</v>
      </c>
    </row>
    <row r="166" customFormat="false" ht="23.85" hidden="false" customHeight="false" outlineLevel="0" collapsed="false">
      <c r="A166" s="10" t="n">
        <v>165</v>
      </c>
      <c r="B166" s="10" t="s">
        <v>88</v>
      </c>
      <c r="C166" s="21" t="n">
        <v>46295</v>
      </c>
      <c r="D166" s="10" t="s">
        <v>427</v>
      </c>
      <c r="E166" s="10" t="s">
        <v>112</v>
      </c>
      <c r="F166" s="10" t="s">
        <v>329</v>
      </c>
      <c r="G166" s="10" t="s">
        <v>188</v>
      </c>
      <c r="H166" s="10" t="s">
        <v>538</v>
      </c>
      <c r="I166" s="9" t="n">
        <v>100000</v>
      </c>
      <c r="J166" s="9" t="n">
        <v>9601</v>
      </c>
      <c r="K166" s="10" t="s">
        <v>95</v>
      </c>
      <c r="L166" s="10" t="s">
        <v>100</v>
      </c>
      <c r="M166" s="16" t="str">
        <f aca="false">IFERROR(VLOOKUP(N166,Словарь!$A$2:$B$15,2,FALSE()),"Нужно решение")</f>
        <v>Принято с актом</v>
      </c>
      <c r="N166" s="10" t="s">
        <v>138</v>
      </c>
      <c r="O166" s="10" t="s">
        <v>155</v>
      </c>
      <c r="P166" s="22" t="str">
        <f aca="true">IF(AND(OR(M166="Не начато",M166="В работе",M166="Нужно решение"),C166&lt;TODAY()),TODAY()-C166,"")</f>
        <v/>
      </c>
      <c r="Q166" s="10" t="s">
        <v>143</v>
      </c>
      <c r="R166" s="10" t="s">
        <v>502</v>
      </c>
      <c r="S166" s="10"/>
      <c r="T166" s="10" t="s">
        <v>207</v>
      </c>
      <c r="U166" s="10" t="n">
        <v>185</v>
      </c>
    </row>
    <row r="167" customFormat="false" ht="23.85" hidden="false" customHeight="false" outlineLevel="0" collapsed="false">
      <c r="A167" s="10" t="n">
        <v>166</v>
      </c>
      <c r="B167" s="10" t="s">
        <v>88</v>
      </c>
      <c r="C167" s="21" t="n">
        <v>46295</v>
      </c>
      <c r="D167" s="10" t="s">
        <v>427</v>
      </c>
      <c r="E167" s="10" t="s">
        <v>112</v>
      </c>
      <c r="F167" s="10" t="s">
        <v>539</v>
      </c>
      <c r="G167" s="10" t="s">
        <v>174</v>
      </c>
      <c r="H167" s="10" t="s">
        <v>540</v>
      </c>
      <c r="I167" s="9" t="n">
        <v>10000</v>
      </c>
      <c r="J167" s="9"/>
      <c r="K167" s="10" t="s">
        <v>95</v>
      </c>
      <c r="L167" s="10" t="s">
        <v>105</v>
      </c>
      <c r="M167" s="16" t="str">
        <f aca="false">IFERROR(VLOOKUP(N167,Словарь!$A$2:$B$15,2,FALSE()),"Нужно решение")</f>
        <v>Нужно решение</v>
      </c>
      <c r="N167" s="10" t="s">
        <v>541</v>
      </c>
      <c r="O167" s="10"/>
      <c r="P167" s="22" t="n">
        <f aca="true">IF(AND(OR(M167="Не начато",M167="В работе",M167="Нужно решение"),C167&lt;TODAY()),TODAY()-C167,"")</f>
        <v>27</v>
      </c>
      <c r="Q167" s="10" t="s">
        <v>238</v>
      </c>
      <c r="R167" s="10" t="s">
        <v>487</v>
      </c>
      <c r="S167" s="10" t="s">
        <v>542</v>
      </c>
      <c r="T167" s="10" t="s">
        <v>543</v>
      </c>
      <c r="U167" s="10" t="n">
        <v>186</v>
      </c>
    </row>
    <row r="168" customFormat="false" ht="23.85" hidden="false" customHeight="false" outlineLevel="0" collapsed="false">
      <c r="A168" s="10" t="n">
        <v>167</v>
      </c>
      <c r="B168" s="10" t="s">
        <v>88</v>
      </c>
      <c r="C168" s="21" t="n">
        <v>46295</v>
      </c>
      <c r="D168" s="10" t="s">
        <v>427</v>
      </c>
      <c r="E168" s="10" t="s">
        <v>112</v>
      </c>
      <c r="F168" s="10" t="s">
        <v>544</v>
      </c>
      <c r="G168" s="10" t="s">
        <v>148</v>
      </c>
      <c r="H168" s="10" t="s">
        <v>545</v>
      </c>
      <c r="I168" s="9"/>
      <c r="J168" s="9"/>
      <c r="K168" s="10" t="s">
        <v>96</v>
      </c>
      <c r="L168" s="10" t="s">
        <v>100</v>
      </c>
      <c r="M168" s="16" t="str">
        <f aca="false">IFERROR(VLOOKUP(N168,Словарь!$A$2:$B$15,2,FALSE()),"Нужно решение")</f>
        <v>Не начато</v>
      </c>
      <c r="N168" s="10" t="s">
        <v>10</v>
      </c>
      <c r="O168" s="10"/>
      <c r="P168" s="22" t="n">
        <f aca="true">IF(AND(OR(M168="Не начато",M168="В работе",M168="Нужно решение"),C168&lt;TODAY()),TODAY()-C168,"")</f>
        <v>27</v>
      </c>
      <c r="Q168" s="10" t="s">
        <v>238</v>
      </c>
      <c r="R168" s="10" t="s">
        <v>487</v>
      </c>
      <c r="S168" s="10"/>
      <c r="T168" s="10"/>
      <c r="U168" s="10" t="n">
        <v>187</v>
      </c>
    </row>
    <row r="169" customFormat="false" ht="23.85" hidden="false" customHeight="false" outlineLevel="0" collapsed="false">
      <c r="A169" s="10" t="n">
        <v>168</v>
      </c>
      <c r="B169" s="10" t="s">
        <v>88</v>
      </c>
      <c r="C169" s="21" t="n">
        <v>46295</v>
      </c>
      <c r="D169" s="10" t="s">
        <v>220</v>
      </c>
      <c r="E169" s="10" t="s">
        <v>112</v>
      </c>
      <c r="F169" s="10" t="s">
        <v>546</v>
      </c>
      <c r="G169" s="10" t="s">
        <v>188</v>
      </c>
      <c r="H169" s="10" t="s">
        <v>547</v>
      </c>
      <c r="I169" s="9"/>
      <c r="J169" s="9"/>
      <c r="K169" s="10" t="s">
        <v>95</v>
      </c>
      <c r="L169" s="10" t="s">
        <v>102</v>
      </c>
      <c r="M169" s="16" t="str">
        <f aca="false">IFERROR(VLOOKUP(N169,Словарь!$A$2:$B$15,2,FALSE()),"Нужно решение")</f>
        <v>Выполнено, ждёт акта</v>
      </c>
      <c r="N169" s="10" t="s">
        <v>150</v>
      </c>
      <c r="O169" s="10"/>
      <c r="P169" s="22" t="str">
        <f aca="true">IF(AND(OR(M169="Не начато",M169="В работе",M169="Нужно решение"),C169&lt;TODAY()),TODAY()-C169,"")</f>
        <v/>
      </c>
      <c r="Q169" s="10" t="s">
        <v>238</v>
      </c>
      <c r="R169" s="10" t="s">
        <v>487</v>
      </c>
      <c r="S169" s="10"/>
      <c r="T169" s="10" t="s">
        <v>319</v>
      </c>
      <c r="U169" s="10" t="n">
        <v>188</v>
      </c>
    </row>
    <row r="170" customFormat="false" ht="23.85" hidden="false" customHeight="false" outlineLevel="0" collapsed="false">
      <c r="A170" s="10" t="n">
        <v>169</v>
      </c>
      <c r="B170" s="10" t="s">
        <v>88</v>
      </c>
      <c r="C170" s="21" t="n">
        <v>46295</v>
      </c>
      <c r="D170" s="10" t="s">
        <v>548</v>
      </c>
      <c r="E170" s="10" t="s">
        <v>112</v>
      </c>
      <c r="F170" s="10" t="s">
        <v>549</v>
      </c>
      <c r="G170" s="10" t="s">
        <v>158</v>
      </c>
      <c r="H170" s="10" t="s">
        <v>550</v>
      </c>
      <c r="I170" s="9"/>
      <c r="J170" s="9"/>
      <c r="K170" s="10" t="s">
        <v>95</v>
      </c>
      <c r="L170" s="10" t="s">
        <v>102</v>
      </c>
      <c r="M170" s="16" t="str">
        <f aca="false">IFERROR(VLOOKUP(N170,Словарь!$A$2:$B$15,2,FALSE()),"Нужно решение")</f>
        <v>Не начато</v>
      </c>
      <c r="N170" s="10" t="s">
        <v>10</v>
      </c>
      <c r="O170" s="10"/>
      <c r="P170" s="22" t="n">
        <f aca="true">IF(AND(OR(M170="Не начато",M170="В работе",M170="Нужно решение"),C170&lt;TODAY()),TODAY()-C170,"")</f>
        <v>27</v>
      </c>
      <c r="Q170" s="10" t="s">
        <v>238</v>
      </c>
      <c r="R170" s="10" t="s">
        <v>487</v>
      </c>
      <c r="S170" s="10"/>
      <c r="T170" s="10"/>
      <c r="U170" s="10" t="n">
        <v>189</v>
      </c>
    </row>
    <row r="171" customFormat="false" ht="23.85" hidden="false" customHeight="false" outlineLevel="0" collapsed="false">
      <c r="A171" s="10" t="n">
        <v>170</v>
      </c>
      <c r="B171" s="10" t="s">
        <v>88</v>
      </c>
      <c r="C171" s="21" t="n">
        <v>46295</v>
      </c>
      <c r="D171" s="10" t="s">
        <v>548</v>
      </c>
      <c r="E171" s="10" t="s">
        <v>112</v>
      </c>
      <c r="F171" s="10" t="s">
        <v>551</v>
      </c>
      <c r="G171" s="10" t="s">
        <v>188</v>
      </c>
      <c r="H171" s="10" t="s">
        <v>552</v>
      </c>
      <c r="I171" s="9" t="n">
        <v>60488</v>
      </c>
      <c r="J171" s="9" t="n">
        <v>60488</v>
      </c>
      <c r="K171" s="10" t="s">
        <v>95</v>
      </c>
      <c r="L171" s="10" t="s">
        <v>102</v>
      </c>
      <c r="M171" s="16" t="str">
        <f aca="false">IFERROR(VLOOKUP(N171,Словарь!$A$2:$B$15,2,FALSE()),"Нужно решение")</f>
        <v>Принято с актом</v>
      </c>
      <c r="N171" s="10" t="s">
        <v>138</v>
      </c>
      <c r="O171" s="10" t="s">
        <v>155</v>
      </c>
      <c r="P171" s="22" t="str">
        <f aca="true">IF(AND(OR(M171="Не начато",M171="В работе",M171="Нужно решение"),C171&lt;TODAY()),TODAY()-C171,"")</f>
        <v/>
      </c>
      <c r="Q171" s="10" t="s">
        <v>143</v>
      </c>
      <c r="R171" s="10" t="s">
        <v>502</v>
      </c>
      <c r="S171" s="10"/>
      <c r="T171" s="10" t="s">
        <v>207</v>
      </c>
      <c r="U171" s="10" t="n">
        <v>190</v>
      </c>
    </row>
    <row r="172" customFormat="false" ht="23.85" hidden="false" customHeight="false" outlineLevel="0" collapsed="false">
      <c r="A172" s="10" t="n">
        <v>171</v>
      </c>
      <c r="B172" s="10" t="s">
        <v>88</v>
      </c>
      <c r="C172" s="21" t="n">
        <v>46295</v>
      </c>
      <c r="D172" s="10" t="s">
        <v>186</v>
      </c>
      <c r="E172" s="10" t="s">
        <v>112</v>
      </c>
      <c r="F172" s="10" t="s">
        <v>553</v>
      </c>
      <c r="G172" s="10" t="s">
        <v>174</v>
      </c>
      <c r="H172" s="10" t="s">
        <v>554</v>
      </c>
      <c r="I172" s="9" t="n">
        <v>300000</v>
      </c>
      <c r="J172" s="9"/>
      <c r="K172" s="10" t="s">
        <v>96</v>
      </c>
      <c r="L172" s="10" t="s">
        <v>102</v>
      </c>
      <c r="M172" s="16" t="str">
        <f aca="false">IFERROR(VLOOKUP(N172,Словарь!$A$2:$B$15,2,FALSE()),"Нужно решение")</f>
        <v>Отложено на зиму</v>
      </c>
      <c r="N172" s="10" t="s">
        <v>22</v>
      </c>
      <c r="O172" s="10"/>
      <c r="P172" s="22" t="str">
        <f aca="true">IF(AND(OR(M172="Не начато",M172="В работе",M172="Нужно решение"),C172&lt;TODAY()),TODAY()-C172,"")</f>
        <v/>
      </c>
      <c r="Q172" s="10" t="s">
        <v>238</v>
      </c>
      <c r="R172" s="10" t="s">
        <v>487</v>
      </c>
      <c r="S172" s="10"/>
      <c r="T172" s="10" t="s">
        <v>522</v>
      </c>
      <c r="U172" s="10" t="n">
        <v>191</v>
      </c>
    </row>
    <row r="173" customFormat="false" ht="35.05" hidden="false" customHeight="false" outlineLevel="0" collapsed="false">
      <c r="A173" s="10" t="n">
        <v>172</v>
      </c>
      <c r="B173" s="10" t="s">
        <v>88</v>
      </c>
      <c r="C173" s="21" t="n">
        <v>46295</v>
      </c>
      <c r="D173" s="10" t="s">
        <v>186</v>
      </c>
      <c r="E173" s="10" t="s">
        <v>112</v>
      </c>
      <c r="F173" s="10" t="s">
        <v>555</v>
      </c>
      <c r="G173" s="10" t="s">
        <v>148</v>
      </c>
      <c r="H173" s="10" t="s">
        <v>556</v>
      </c>
      <c r="I173" s="9"/>
      <c r="J173" s="9"/>
      <c r="K173" s="10" t="s">
        <v>96</v>
      </c>
      <c r="L173" s="10" t="s">
        <v>102</v>
      </c>
      <c r="M173" s="16" t="str">
        <f aca="false">IFERROR(VLOOKUP(N173,Словарь!$A$2:$B$15,2,FALSE()),"Нужно решение")</f>
        <v>Выполнено, ждёт акта</v>
      </c>
      <c r="N173" s="10" t="s">
        <v>150</v>
      </c>
      <c r="O173" s="10" t="s">
        <v>151</v>
      </c>
      <c r="P173" s="22" t="str">
        <f aca="true">IF(AND(OR(M173="Не начато",M173="В работе",M173="Нужно решение"),C173&lt;TODAY()),TODAY()-C173,"")</f>
        <v/>
      </c>
      <c r="Q173" s="10" t="s">
        <v>238</v>
      </c>
      <c r="R173" s="10" t="s">
        <v>487</v>
      </c>
      <c r="S173" s="10"/>
      <c r="T173" s="10" t="s">
        <v>495</v>
      </c>
      <c r="U173" s="10" t="n">
        <v>192</v>
      </c>
    </row>
    <row r="174" customFormat="false" ht="23.85" hidden="false" customHeight="false" outlineLevel="0" collapsed="false">
      <c r="A174" s="10" t="n">
        <v>173</v>
      </c>
      <c r="B174" s="10" t="s">
        <v>88</v>
      </c>
      <c r="C174" s="21" t="n">
        <v>46295</v>
      </c>
      <c r="D174" s="10" t="s">
        <v>186</v>
      </c>
      <c r="E174" s="10" t="s">
        <v>112</v>
      </c>
      <c r="F174" s="10" t="s">
        <v>406</v>
      </c>
      <c r="G174" s="10" t="s">
        <v>136</v>
      </c>
      <c r="H174" s="10"/>
      <c r="I174" s="9" t="n">
        <v>125000</v>
      </c>
      <c r="J174" s="9" t="n">
        <v>172975.68</v>
      </c>
      <c r="K174" s="10" t="s">
        <v>96</v>
      </c>
      <c r="L174" s="10" t="s">
        <v>102</v>
      </c>
      <c r="M174" s="16" t="str">
        <f aca="false">IFERROR(VLOOKUP(N174,Словарь!$A$2:$B$15,2,FALSE()),"Нужно решение")</f>
        <v>Принято с актом</v>
      </c>
      <c r="N174" s="10" t="s">
        <v>138</v>
      </c>
      <c r="O174" s="10" t="s">
        <v>155</v>
      </c>
      <c r="P174" s="22" t="str">
        <f aca="true">IF(AND(OR(M174="Не начато",M174="В работе",M174="Нужно решение"),C174&lt;TODAY()),TODAY()-C174,"")</f>
        <v/>
      </c>
      <c r="Q174" s="10" t="s">
        <v>143</v>
      </c>
      <c r="R174" s="10" t="s">
        <v>502</v>
      </c>
      <c r="S174" s="10"/>
      <c r="T174" s="10" t="s">
        <v>145</v>
      </c>
      <c r="U174" s="10" t="n">
        <v>193</v>
      </c>
    </row>
    <row r="175" customFormat="false" ht="35.05" hidden="false" customHeight="false" outlineLevel="0" collapsed="false">
      <c r="A175" s="10" t="n">
        <v>174</v>
      </c>
      <c r="B175" s="10" t="s">
        <v>88</v>
      </c>
      <c r="C175" s="21" t="n">
        <v>46295</v>
      </c>
      <c r="D175" s="10" t="s">
        <v>557</v>
      </c>
      <c r="E175" s="10" t="s">
        <v>116</v>
      </c>
      <c r="F175" s="10" t="s">
        <v>558</v>
      </c>
      <c r="G175" s="10" t="s">
        <v>174</v>
      </c>
      <c r="H175" s="10" t="s">
        <v>559</v>
      </c>
      <c r="I175" s="9"/>
      <c r="J175" s="9"/>
      <c r="K175" s="10" t="s">
        <v>95</v>
      </c>
      <c r="L175" s="10" t="s">
        <v>101</v>
      </c>
      <c r="M175" s="16" t="str">
        <f aca="false">IFERROR(VLOOKUP(N175,Словарь!$A$2:$B$15,2,FALSE()),"Нужно решение")</f>
        <v>Нужно решение</v>
      </c>
      <c r="N175" s="10" t="s">
        <v>541</v>
      </c>
      <c r="O175" s="10"/>
      <c r="P175" s="22" t="n">
        <f aca="true">IF(AND(OR(M175="Не начато",M175="В работе",M175="Нужно решение"),C175&lt;TODAY()),TODAY()-C175,"")</f>
        <v>27</v>
      </c>
      <c r="Q175" s="10" t="s">
        <v>238</v>
      </c>
      <c r="R175" s="10" t="s">
        <v>487</v>
      </c>
      <c r="S175" s="10" t="s">
        <v>560</v>
      </c>
      <c r="T175" s="10" t="s">
        <v>561</v>
      </c>
      <c r="U175" s="10" t="n">
        <v>194</v>
      </c>
    </row>
    <row r="176" customFormat="false" ht="23.85" hidden="false" customHeight="false" outlineLevel="0" collapsed="false">
      <c r="A176" s="10" t="n">
        <v>175</v>
      </c>
      <c r="B176" s="10" t="s">
        <v>88</v>
      </c>
      <c r="C176" s="21" t="n">
        <v>46295</v>
      </c>
      <c r="D176" s="10" t="s">
        <v>562</v>
      </c>
      <c r="E176" s="10" t="s">
        <v>113</v>
      </c>
      <c r="F176" s="10" t="s">
        <v>563</v>
      </c>
      <c r="G176" s="10" t="s">
        <v>192</v>
      </c>
      <c r="H176" s="10"/>
      <c r="I176" s="9"/>
      <c r="J176" s="9"/>
      <c r="K176" s="10" t="s">
        <v>95</v>
      </c>
      <c r="L176" s="10" t="s">
        <v>101</v>
      </c>
      <c r="M176" s="16" t="str">
        <f aca="false">IFERROR(VLOOKUP(N176,Словарь!$A$2:$B$15,2,FALSE()),"Нужно решение")</f>
        <v>Выполнено, ждёт акта</v>
      </c>
      <c r="N176" s="10" t="s">
        <v>150</v>
      </c>
      <c r="O176" s="10"/>
      <c r="P176" s="22" t="str">
        <f aca="true">IF(AND(OR(M176="Не начато",M176="В работе",M176="Нужно решение"),C176&lt;TODAY()),TODAY()-C176,"")</f>
        <v/>
      </c>
      <c r="Q176" s="10" t="s">
        <v>238</v>
      </c>
      <c r="R176" s="10" t="s">
        <v>487</v>
      </c>
      <c r="S176" s="10"/>
      <c r="T176" s="10" t="s">
        <v>319</v>
      </c>
      <c r="U176" s="10" t="n">
        <v>195</v>
      </c>
    </row>
    <row r="177" customFormat="false" ht="23.85" hidden="false" customHeight="false" outlineLevel="0" collapsed="false">
      <c r="A177" s="10" t="n">
        <v>176</v>
      </c>
      <c r="B177" s="10" t="s">
        <v>88</v>
      </c>
      <c r="C177" s="21" t="n">
        <v>46295</v>
      </c>
      <c r="D177" s="10" t="s">
        <v>564</v>
      </c>
      <c r="E177" s="10" t="s">
        <v>113</v>
      </c>
      <c r="F177" s="10" t="s">
        <v>565</v>
      </c>
      <c r="G177" s="10" t="s">
        <v>188</v>
      </c>
      <c r="H177" s="10" t="s">
        <v>566</v>
      </c>
      <c r="I177" s="9"/>
      <c r="J177" s="9"/>
      <c r="K177" s="10" t="s">
        <v>95</v>
      </c>
      <c r="L177" s="10" t="s">
        <v>103</v>
      </c>
      <c r="M177" s="16" t="str">
        <f aca="false">IFERROR(VLOOKUP(N177,Словарь!$A$2:$B$15,2,FALSE()),"Нужно решение")</f>
        <v>Не начато</v>
      </c>
      <c r="N177" s="10" t="s">
        <v>10</v>
      </c>
      <c r="O177" s="10"/>
      <c r="P177" s="22" t="n">
        <f aca="true">IF(AND(OR(M177="Не начато",M177="В работе",M177="Нужно решение"),C177&lt;TODAY()),TODAY()-C177,"")</f>
        <v>27</v>
      </c>
      <c r="Q177" s="10" t="s">
        <v>238</v>
      </c>
      <c r="R177" s="10" t="s">
        <v>487</v>
      </c>
      <c r="S177" s="10"/>
      <c r="T177" s="10"/>
      <c r="U177" s="10" t="n">
        <v>196</v>
      </c>
    </row>
    <row r="178" customFormat="false" ht="35.05" hidden="false" customHeight="false" outlineLevel="0" collapsed="false">
      <c r="A178" s="10" t="n">
        <v>177</v>
      </c>
      <c r="B178" s="10" t="s">
        <v>88</v>
      </c>
      <c r="C178" s="21" t="n">
        <v>46295</v>
      </c>
      <c r="D178" s="10" t="s">
        <v>146</v>
      </c>
      <c r="E178" s="10" t="s">
        <v>112</v>
      </c>
      <c r="F178" s="10" t="s">
        <v>567</v>
      </c>
      <c r="G178" s="10" t="s">
        <v>174</v>
      </c>
      <c r="H178" s="10" t="s">
        <v>568</v>
      </c>
      <c r="I178" s="9" t="n">
        <v>458256.5</v>
      </c>
      <c r="J178" s="9"/>
      <c r="K178" s="10" t="s">
        <v>96</v>
      </c>
      <c r="L178" s="10" t="s">
        <v>103</v>
      </c>
      <c r="M178" s="16" t="str">
        <f aca="false">IFERROR(VLOOKUP(N178,Словарь!$A$2:$B$15,2,FALSE()),"Нужно решение")</f>
        <v>В работе</v>
      </c>
      <c r="N178" s="10" t="s">
        <v>13</v>
      </c>
      <c r="O178" s="10"/>
      <c r="P178" s="22" t="n">
        <f aca="true">IF(AND(OR(M178="Не начато",M178="В работе",M178="Нужно решение"),C178&lt;TODAY()),TODAY()-C178,"")</f>
        <v>27</v>
      </c>
      <c r="Q178" s="10" t="s">
        <v>238</v>
      </c>
      <c r="R178" s="10" t="s">
        <v>487</v>
      </c>
      <c r="S178" s="10"/>
      <c r="T178" s="10" t="s">
        <v>569</v>
      </c>
      <c r="U178" s="10" t="n">
        <v>197</v>
      </c>
    </row>
    <row r="179" customFormat="false" ht="23.85" hidden="false" customHeight="false" outlineLevel="0" collapsed="false">
      <c r="A179" s="10" t="n">
        <v>178</v>
      </c>
      <c r="B179" s="10" t="s">
        <v>88</v>
      </c>
      <c r="C179" s="21" t="n">
        <v>46295</v>
      </c>
      <c r="D179" s="10" t="s">
        <v>146</v>
      </c>
      <c r="E179" s="10" t="s">
        <v>112</v>
      </c>
      <c r="F179" s="10" t="s">
        <v>570</v>
      </c>
      <c r="G179" s="10" t="s">
        <v>174</v>
      </c>
      <c r="H179" s="10" t="s">
        <v>571</v>
      </c>
      <c r="I179" s="9"/>
      <c r="J179" s="9"/>
      <c r="K179" s="10" t="s">
        <v>96</v>
      </c>
      <c r="L179" s="10" t="s">
        <v>103</v>
      </c>
      <c r="M179" s="16" t="str">
        <f aca="false">IFERROR(VLOOKUP(N179,Словарь!$A$2:$B$15,2,FALSE()),"Нужно решение")</f>
        <v>В работе</v>
      </c>
      <c r="N179" s="10" t="s">
        <v>13</v>
      </c>
      <c r="O179" s="10"/>
      <c r="P179" s="22" t="n">
        <f aca="true">IF(AND(OR(M179="Не начато",M179="В работе",M179="Нужно решение"),C179&lt;TODAY()),TODAY()-C179,"")</f>
        <v>27</v>
      </c>
      <c r="Q179" s="10" t="s">
        <v>238</v>
      </c>
      <c r="R179" s="10" t="s">
        <v>487</v>
      </c>
      <c r="S179" s="10"/>
      <c r="T179" s="10" t="s">
        <v>569</v>
      </c>
      <c r="U179" s="10" t="n">
        <v>198</v>
      </c>
    </row>
    <row r="180" customFormat="false" ht="23.85" hidden="false" customHeight="false" outlineLevel="0" collapsed="false">
      <c r="A180" s="10" t="n">
        <v>179</v>
      </c>
      <c r="B180" s="10" t="s">
        <v>88</v>
      </c>
      <c r="C180" s="21" t="n">
        <v>46295</v>
      </c>
      <c r="D180" s="10" t="s">
        <v>572</v>
      </c>
      <c r="E180" s="10" t="s">
        <v>115</v>
      </c>
      <c r="F180" s="10" t="s">
        <v>573</v>
      </c>
      <c r="G180" s="10" t="s">
        <v>192</v>
      </c>
      <c r="H180" s="10" t="s">
        <v>574</v>
      </c>
      <c r="I180" s="9" t="n">
        <v>45000</v>
      </c>
      <c r="J180" s="9"/>
      <c r="K180" s="10" t="s">
        <v>95</v>
      </c>
      <c r="L180" s="10" t="s">
        <v>100</v>
      </c>
      <c r="M180" s="16" t="str">
        <f aca="false">IFERROR(VLOOKUP(N180,Словарь!$A$2:$B$15,2,FALSE()),"Нужно решение")</f>
        <v>Не начато</v>
      </c>
      <c r="N180" s="10" t="s">
        <v>10</v>
      </c>
      <c r="O180" s="10"/>
      <c r="P180" s="22" t="n">
        <f aca="true">IF(AND(OR(M180="Не начато",M180="В работе",M180="Нужно решение"),C180&lt;TODAY()),TODAY()-C180,"")</f>
        <v>27</v>
      </c>
      <c r="Q180" s="10" t="s">
        <v>238</v>
      </c>
      <c r="R180" s="10" t="s">
        <v>487</v>
      </c>
      <c r="S180" s="10"/>
      <c r="T180" s="10"/>
      <c r="U180" s="10" t="n">
        <v>199</v>
      </c>
    </row>
    <row r="181" customFormat="false" ht="23.85" hidden="false" customHeight="false" outlineLevel="0" collapsed="false">
      <c r="A181" s="10" t="n">
        <v>180</v>
      </c>
      <c r="B181" s="10" t="s">
        <v>88</v>
      </c>
      <c r="C181" s="21" t="n">
        <v>46295</v>
      </c>
      <c r="D181" s="10" t="s">
        <v>575</v>
      </c>
      <c r="E181" s="10" t="s">
        <v>112</v>
      </c>
      <c r="F181" s="10" t="s">
        <v>576</v>
      </c>
      <c r="G181" s="10" t="s">
        <v>174</v>
      </c>
      <c r="H181" s="10" t="s">
        <v>577</v>
      </c>
      <c r="I181" s="9" t="n">
        <v>108311</v>
      </c>
      <c r="J181" s="9" t="n">
        <v>108311</v>
      </c>
      <c r="K181" s="10" t="s">
        <v>95</v>
      </c>
      <c r="L181" s="10" t="s">
        <v>104</v>
      </c>
      <c r="M181" s="16" t="str">
        <f aca="false">IFERROR(VLOOKUP(N181,Словарь!$A$2:$B$15,2,FALSE()),"Нужно решение")</f>
        <v>Принято с актом</v>
      </c>
      <c r="N181" s="10" t="s">
        <v>138</v>
      </c>
      <c r="O181" s="10" t="s">
        <v>139</v>
      </c>
      <c r="P181" s="22" t="str">
        <f aca="true">IF(AND(OR(M181="Не начато",M181="В работе",M181="Нужно решение"),C181&lt;TODAY()),TODAY()-C181,"")</f>
        <v/>
      </c>
      <c r="Q181" s="10" t="s">
        <v>238</v>
      </c>
      <c r="R181" s="10" t="s">
        <v>487</v>
      </c>
      <c r="S181" s="10"/>
      <c r="T181" s="10" t="s">
        <v>140</v>
      </c>
      <c r="U181" s="10" t="n">
        <v>200</v>
      </c>
    </row>
    <row r="182" customFormat="false" ht="23.85" hidden="false" customHeight="false" outlineLevel="0" collapsed="false">
      <c r="A182" s="10" t="n">
        <v>181</v>
      </c>
      <c r="B182" s="10" t="s">
        <v>88</v>
      </c>
      <c r="C182" s="21" t="n">
        <v>46295</v>
      </c>
      <c r="D182" s="10" t="s">
        <v>575</v>
      </c>
      <c r="E182" s="10" t="s">
        <v>112</v>
      </c>
      <c r="F182" s="10" t="s">
        <v>578</v>
      </c>
      <c r="G182" s="10" t="s">
        <v>174</v>
      </c>
      <c r="H182" s="10" t="s">
        <v>579</v>
      </c>
      <c r="I182" s="9" t="n">
        <v>78634.7</v>
      </c>
      <c r="J182" s="9"/>
      <c r="K182" s="10" t="s">
        <v>96</v>
      </c>
      <c r="L182" s="10" t="s">
        <v>104</v>
      </c>
      <c r="M182" s="16" t="str">
        <f aca="false">IFERROR(VLOOKUP(N182,Словарь!$A$2:$B$15,2,FALSE()),"Нужно решение")</f>
        <v>Выполнено, ждёт акта</v>
      </c>
      <c r="N182" s="10" t="s">
        <v>150</v>
      </c>
      <c r="O182" s="10" t="s">
        <v>151</v>
      </c>
      <c r="P182" s="22" t="str">
        <f aca="true">IF(AND(OR(M182="Не начато",M182="В работе",M182="Нужно решение"),C182&lt;TODAY()),TODAY()-C182,"")</f>
        <v/>
      </c>
      <c r="Q182" s="10" t="s">
        <v>238</v>
      </c>
      <c r="R182" s="10" t="s">
        <v>487</v>
      </c>
      <c r="S182" s="10"/>
      <c r="T182" s="10" t="s">
        <v>495</v>
      </c>
      <c r="U182" s="10" t="n">
        <v>204</v>
      </c>
    </row>
    <row r="183" customFormat="false" ht="23.85" hidden="false" customHeight="false" outlineLevel="0" collapsed="false">
      <c r="A183" s="10" t="n">
        <v>182</v>
      </c>
      <c r="B183" s="10" t="s">
        <v>88</v>
      </c>
      <c r="C183" s="21" t="n">
        <v>46295</v>
      </c>
      <c r="D183" s="10" t="s">
        <v>580</v>
      </c>
      <c r="E183" s="10" t="s">
        <v>114</v>
      </c>
      <c r="F183" s="10" t="s">
        <v>581</v>
      </c>
      <c r="G183" s="10" t="s">
        <v>245</v>
      </c>
      <c r="H183" s="10"/>
      <c r="I183" s="9" t="n">
        <v>84510</v>
      </c>
      <c r="J183" s="9" t="n">
        <v>84510</v>
      </c>
      <c r="K183" s="10" t="s">
        <v>95</v>
      </c>
      <c r="L183" s="10" t="s">
        <v>100</v>
      </c>
      <c r="M183" s="16" t="str">
        <f aca="false">IFERROR(VLOOKUP(N183,Словарь!$A$2:$B$15,2,FALSE()),"Нужно решение")</f>
        <v>Выполнено, ждёт акта</v>
      </c>
      <c r="N183" s="10" t="s">
        <v>150</v>
      </c>
      <c r="O183" s="10"/>
      <c r="P183" s="22" t="str">
        <f aca="true">IF(AND(OR(M183="Не начато",M183="В работе",M183="Нужно решение"),C183&lt;TODAY()),TODAY()-C183,"")</f>
        <v/>
      </c>
      <c r="Q183" s="10" t="s">
        <v>238</v>
      </c>
      <c r="R183" s="10" t="s">
        <v>487</v>
      </c>
      <c r="S183" s="10"/>
      <c r="T183" s="10" t="s">
        <v>319</v>
      </c>
      <c r="U183" s="10" t="n">
        <v>201</v>
      </c>
    </row>
    <row r="184" customFormat="false" ht="23.85" hidden="false" customHeight="false" outlineLevel="0" collapsed="false">
      <c r="A184" s="10" t="n">
        <v>183</v>
      </c>
      <c r="B184" s="10" t="s">
        <v>88</v>
      </c>
      <c r="C184" s="21" t="n">
        <v>46295</v>
      </c>
      <c r="D184" s="10" t="s">
        <v>337</v>
      </c>
      <c r="E184" s="10" t="s">
        <v>114</v>
      </c>
      <c r="F184" s="10" t="s">
        <v>582</v>
      </c>
      <c r="G184" s="10" t="s">
        <v>188</v>
      </c>
      <c r="H184" s="10"/>
      <c r="I184" s="9"/>
      <c r="J184" s="9"/>
      <c r="K184" s="10" t="s">
        <v>97</v>
      </c>
      <c r="L184" s="10" t="s">
        <v>100</v>
      </c>
      <c r="M184" s="16" t="str">
        <f aca="false">IFERROR(VLOOKUP(N184,Словарь!$A$2:$B$15,2,FALSE()),"Нужно решение")</f>
        <v>Не начато</v>
      </c>
      <c r="N184" s="10" t="s">
        <v>10</v>
      </c>
      <c r="O184" s="10"/>
      <c r="P184" s="22" t="n">
        <f aca="true">IF(AND(OR(M184="Не начато",M184="В работе",M184="Нужно решение"),C184&lt;TODAY()),TODAY()-C184,"")</f>
        <v>27</v>
      </c>
      <c r="Q184" s="10" t="s">
        <v>238</v>
      </c>
      <c r="R184" s="10" t="s">
        <v>487</v>
      </c>
      <c r="S184" s="10"/>
      <c r="T184" s="10"/>
      <c r="U184" s="10" t="n">
        <v>202</v>
      </c>
    </row>
    <row r="185" customFormat="false" ht="23.85" hidden="false" customHeight="false" outlineLevel="0" collapsed="false">
      <c r="A185" s="10" t="n">
        <v>184</v>
      </c>
      <c r="B185" s="10" t="s">
        <v>88</v>
      </c>
      <c r="C185" s="21" t="n">
        <v>46295</v>
      </c>
      <c r="D185" s="10" t="s">
        <v>337</v>
      </c>
      <c r="E185" s="10" t="s">
        <v>114</v>
      </c>
      <c r="F185" s="10" t="s">
        <v>583</v>
      </c>
      <c r="G185" s="10" t="s">
        <v>174</v>
      </c>
      <c r="H185" s="10"/>
      <c r="I185" s="9" t="n">
        <v>9375</v>
      </c>
      <c r="J185" s="9"/>
      <c r="K185" s="10" t="s">
        <v>97</v>
      </c>
      <c r="L185" s="10" t="s">
        <v>100</v>
      </c>
      <c r="M185" s="16" t="str">
        <f aca="false">IFERROR(VLOOKUP(N185,Словарь!$A$2:$B$15,2,FALSE()),"Нужно решение")</f>
        <v>Не начато</v>
      </c>
      <c r="N185" s="10" t="s">
        <v>10</v>
      </c>
      <c r="O185" s="10"/>
      <c r="P185" s="22" t="n">
        <f aca="true">IF(AND(OR(M185="Не начато",M185="В работе",M185="Нужно решение"),C185&lt;TODAY()),TODAY()-C185,"")</f>
        <v>27</v>
      </c>
      <c r="Q185" s="10" t="s">
        <v>238</v>
      </c>
      <c r="R185" s="10" t="s">
        <v>487</v>
      </c>
      <c r="S185" s="10"/>
      <c r="T185" s="10"/>
      <c r="U185" s="10" t="n">
        <v>203</v>
      </c>
    </row>
    <row r="186" customFormat="false" ht="23.85" hidden="false" customHeight="false" outlineLevel="0" collapsed="false">
      <c r="A186" s="10" t="n">
        <v>185</v>
      </c>
      <c r="B186" s="10" t="s">
        <v>88</v>
      </c>
      <c r="C186" s="21" t="n">
        <v>46295</v>
      </c>
      <c r="D186" s="10" t="s">
        <v>584</v>
      </c>
      <c r="E186" s="10" t="s">
        <v>112</v>
      </c>
      <c r="F186" s="10" t="s">
        <v>406</v>
      </c>
      <c r="G186" s="10" t="s">
        <v>136</v>
      </c>
      <c r="H186" s="10"/>
      <c r="I186" s="9" t="n">
        <v>125000</v>
      </c>
      <c r="J186" s="9"/>
      <c r="K186" s="10" t="s">
        <v>96</v>
      </c>
      <c r="L186" s="10" t="s">
        <v>107</v>
      </c>
      <c r="M186" s="16" t="str">
        <f aca="false">IFERROR(VLOOKUP(N186,Словарь!$A$2:$B$15,2,FALSE()),"Нужно решение")</f>
        <v>Выполнено, ждёт акта</v>
      </c>
      <c r="N186" s="10" t="s">
        <v>150</v>
      </c>
      <c r="O186" s="10" t="s">
        <v>151</v>
      </c>
      <c r="P186" s="22" t="str">
        <f aca="true">IF(AND(OR(M186="Не начато",M186="В работе",M186="Нужно решение"),C186&lt;TODAY()),TODAY()-C186,"")</f>
        <v/>
      </c>
      <c r="Q186" s="10" t="s">
        <v>238</v>
      </c>
      <c r="R186" s="10" t="s">
        <v>487</v>
      </c>
      <c r="S186" s="10"/>
      <c r="T186" s="10" t="s">
        <v>239</v>
      </c>
      <c r="U186" s="10" t="n">
        <v>205</v>
      </c>
    </row>
    <row r="187" customFormat="false" ht="23.85" hidden="false" customHeight="false" outlineLevel="0" collapsed="false">
      <c r="A187" s="10" t="n">
        <v>186</v>
      </c>
      <c r="B187" s="10" t="s">
        <v>88</v>
      </c>
      <c r="C187" s="21" t="n">
        <v>46295</v>
      </c>
      <c r="D187" s="10" t="s">
        <v>274</v>
      </c>
      <c r="E187" s="10" t="s">
        <v>112</v>
      </c>
      <c r="F187" s="10" t="s">
        <v>406</v>
      </c>
      <c r="G187" s="10" t="s">
        <v>136</v>
      </c>
      <c r="H187" s="10"/>
      <c r="I187" s="9" t="n">
        <v>125000</v>
      </c>
      <c r="J187" s="9"/>
      <c r="K187" s="10" t="s">
        <v>96</v>
      </c>
      <c r="L187" s="10" t="s">
        <v>103</v>
      </c>
      <c r="M187" s="16" t="str">
        <f aca="false">IFERROR(VLOOKUP(N187,Словарь!$A$2:$B$15,2,FALSE()),"Нужно решение")</f>
        <v>Выполнено, ждёт акта</v>
      </c>
      <c r="N187" s="10" t="s">
        <v>150</v>
      </c>
      <c r="O187" s="10" t="s">
        <v>151</v>
      </c>
      <c r="P187" s="22" t="str">
        <f aca="true">IF(AND(OR(M187="Не начато",M187="В работе",M187="Нужно решение"),C187&lt;TODAY()),TODAY()-C187,"")</f>
        <v/>
      </c>
      <c r="Q187" s="10" t="s">
        <v>238</v>
      </c>
      <c r="R187" s="10" t="s">
        <v>487</v>
      </c>
      <c r="S187" s="10"/>
      <c r="T187" s="10" t="s">
        <v>239</v>
      </c>
      <c r="U187" s="10" t="n">
        <v>206</v>
      </c>
    </row>
    <row r="188" customFormat="false" ht="23.85" hidden="false" customHeight="false" outlineLevel="0" collapsed="false">
      <c r="A188" s="10" t="n">
        <v>187</v>
      </c>
      <c r="B188" s="10" t="s">
        <v>88</v>
      </c>
      <c r="C188" s="21" t="n">
        <v>46295</v>
      </c>
      <c r="D188" s="10" t="s">
        <v>274</v>
      </c>
      <c r="E188" s="10" t="s">
        <v>112</v>
      </c>
      <c r="F188" s="10" t="s">
        <v>585</v>
      </c>
      <c r="G188" s="10" t="s">
        <v>192</v>
      </c>
      <c r="H188" s="10" t="s">
        <v>586</v>
      </c>
      <c r="I188" s="9" t="n">
        <v>5737.05</v>
      </c>
      <c r="J188" s="9" t="n">
        <v>5737.05</v>
      </c>
      <c r="K188" s="10" t="s">
        <v>97</v>
      </c>
      <c r="L188" s="10" t="s">
        <v>100</v>
      </c>
      <c r="M188" s="16" t="str">
        <f aca="false">IFERROR(VLOOKUP(N188,Словарь!$A$2:$B$15,2,FALSE()),"Нужно решение")</f>
        <v>Принято с актом</v>
      </c>
      <c r="N188" s="10" t="s">
        <v>138</v>
      </c>
      <c r="O188" s="10" t="s">
        <v>155</v>
      </c>
      <c r="P188" s="22" t="str">
        <f aca="true">IF(AND(OR(M188="Не начато",M188="В работе",M188="Нужно решение"),C188&lt;TODAY()),TODAY()-C188,"")</f>
        <v/>
      </c>
      <c r="Q188" s="10" t="s">
        <v>143</v>
      </c>
      <c r="R188" s="10" t="s">
        <v>487</v>
      </c>
      <c r="S188" s="10"/>
      <c r="T188" s="10" t="s">
        <v>145</v>
      </c>
      <c r="U188" s="10" t="n">
        <v>207</v>
      </c>
    </row>
    <row r="189" customFormat="false" ht="23.85" hidden="false" customHeight="false" outlineLevel="0" collapsed="false">
      <c r="A189" s="10" t="n">
        <v>188</v>
      </c>
      <c r="B189" s="10" t="s">
        <v>88</v>
      </c>
      <c r="C189" s="21" t="n">
        <v>46295</v>
      </c>
      <c r="D189" s="10" t="s">
        <v>279</v>
      </c>
      <c r="E189" s="10" t="s">
        <v>112</v>
      </c>
      <c r="F189" s="10" t="s">
        <v>587</v>
      </c>
      <c r="G189" s="10" t="s">
        <v>245</v>
      </c>
      <c r="H189" s="10" t="s">
        <v>588</v>
      </c>
      <c r="I189" s="9"/>
      <c r="J189" s="9"/>
      <c r="K189" s="10" t="s">
        <v>97</v>
      </c>
      <c r="L189" s="10" t="s">
        <v>100</v>
      </c>
      <c r="M189" s="16" t="str">
        <f aca="false">IFERROR(VLOOKUP(N189,Словарь!$A$2:$B$15,2,FALSE()),"Нужно решение")</f>
        <v>Снято с плана</v>
      </c>
      <c r="N189" s="10" t="s">
        <v>164</v>
      </c>
      <c r="O189" s="10"/>
      <c r="P189" s="22" t="str">
        <f aca="true">IF(AND(OR(M189="Не начато",M189="В работе",M189="Нужно решение"),C189&lt;TODAY()),TODAY()-C189,"")</f>
        <v/>
      </c>
      <c r="Q189" s="10" t="s">
        <v>238</v>
      </c>
      <c r="R189" s="10" t="s">
        <v>487</v>
      </c>
      <c r="S189" s="10" t="s">
        <v>589</v>
      </c>
      <c r="T189" s="10" t="s">
        <v>590</v>
      </c>
      <c r="U189" s="10" t="n">
        <v>210</v>
      </c>
    </row>
    <row r="190" customFormat="false" ht="23.85" hidden="false" customHeight="false" outlineLevel="0" collapsed="false">
      <c r="A190" s="10" t="n">
        <v>189</v>
      </c>
      <c r="B190" s="10" t="s">
        <v>88</v>
      </c>
      <c r="C190" s="21" t="n">
        <v>46295</v>
      </c>
      <c r="D190" s="10" t="s">
        <v>279</v>
      </c>
      <c r="E190" s="10" t="s">
        <v>112</v>
      </c>
      <c r="F190" s="10" t="s">
        <v>591</v>
      </c>
      <c r="G190" s="10" t="s">
        <v>192</v>
      </c>
      <c r="H190" s="10" t="s">
        <v>592</v>
      </c>
      <c r="I190" s="9"/>
      <c r="J190" s="9"/>
      <c r="K190" s="10" t="s">
        <v>95</v>
      </c>
      <c r="L190" s="10" t="s">
        <v>100</v>
      </c>
      <c r="M190" s="16" t="str">
        <f aca="false">IFERROR(VLOOKUP(N190,Словарь!$A$2:$B$15,2,FALSE()),"Нужно решение")</f>
        <v>Не начато</v>
      </c>
      <c r="N190" s="10" t="s">
        <v>10</v>
      </c>
      <c r="O190" s="10"/>
      <c r="P190" s="22" t="n">
        <f aca="true">IF(AND(OR(M190="Не начато",M190="В работе",M190="Нужно решение"),C190&lt;TODAY()),TODAY()-C190,"")</f>
        <v>27</v>
      </c>
      <c r="Q190" s="10" t="s">
        <v>238</v>
      </c>
      <c r="R190" s="10" t="s">
        <v>487</v>
      </c>
      <c r="S190" s="10" t="s">
        <v>589</v>
      </c>
      <c r="T190" s="10"/>
      <c r="U190" s="10" t="n">
        <v>211</v>
      </c>
    </row>
    <row r="191" customFormat="false" ht="23.85" hidden="false" customHeight="false" outlineLevel="0" collapsed="false">
      <c r="A191" s="10" t="n">
        <v>190</v>
      </c>
      <c r="B191" s="10" t="s">
        <v>88</v>
      </c>
      <c r="C191" s="21" t="n">
        <v>46295</v>
      </c>
      <c r="D191" s="10" t="s">
        <v>341</v>
      </c>
      <c r="E191" s="10" t="s">
        <v>113</v>
      </c>
      <c r="F191" s="10" t="s">
        <v>593</v>
      </c>
      <c r="G191" s="10" t="s">
        <v>188</v>
      </c>
      <c r="H191" s="10" t="s">
        <v>594</v>
      </c>
      <c r="I191" s="9"/>
      <c r="J191" s="9"/>
      <c r="K191" s="10" t="s">
        <v>95</v>
      </c>
      <c r="L191" s="10" t="s">
        <v>101</v>
      </c>
      <c r="M191" s="16" t="str">
        <f aca="false">IFERROR(VLOOKUP(N191,Словарь!$A$2:$B$15,2,FALSE()),"Нужно решение")</f>
        <v>Не начато</v>
      </c>
      <c r="N191" s="10" t="s">
        <v>10</v>
      </c>
      <c r="O191" s="10"/>
      <c r="P191" s="22" t="n">
        <f aca="true">IF(AND(OR(M191="Не начато",M191="В работе",M191="Нужно решение"),C191&lt;TODAY()),TODAY()-C191,"")</f>
        <v>27</v>
      </c>
      <c r="Q191" s="10" t="s">
        <v>238</v>
      </c>
      <c r="R191" s="10" t="s">
        <v>487</v>
      </c>
      <c r="S191" s="10"/>
      <c r="T191" s="10"/>
      <c r="U191" s="10" t="n">
        <v>208</v>
      </c>
    </row>
    <row r="192" customFormat="false" ht="23.85" hidden="false" customHeight="false" outlineLevel="0" collapsed="false">
      <c r="A192" s="10" t="n">
        <v>191</v>
      </c>
      <c r="B192" s="10" t="s">
        <v>88</v>
      </c>
      <c r="C192" s="21" t="n">
        <v>46295</v>
      </c>
      <c r="D192" s="10" t="s">
        <v>341</v>
      </c>
      <c r="E192" s="10" t="s">
        <v>113</v>
      </c>
      <c r="F192" s="10" t="s">
        <v>595</v>
      </c>
      <c r="G192" s="10" t="s">
        <v>142</v>
      </c>
      <c r="H192" s="10" t="s">
        <v>343</v>
      </c>
      <c r="I192" s="9" t="n">
        <v>261000</v>
      </c>
      <c r="J192" s="9" t="n">
        <v>270000</v>
      </c>
      <c r="K192" s="10" t="s">
        <v>97</v>
      </c>
      <c r="L192" s="10" t="s">
        <v>101</v>
      </c>
      <c r="M192" s="16" t="str">
        <f aca="false">IFERROR(VLOOKUP(N192,Словарь!$A$2:$B$15,2,FALSE()),"Нужно решение")</f>
        <v>Принято с актом</v>
      </c>
      <c r="N192" s="10" t="s">
        <v>138</v>
      </c>
      <c r="O192" s="10" t="s">
        <v>155</v>
      </c>
      <c r="P192" s="22" t="str">
        <f aca="true">IF(AND(OR(M192="Не начато",M192="В работе",M192="Нужно решение"),C192&lt;TODAY()),TODAY()-C192,"")</f>
        <v/>
      </c>
      <c r="Q192" s="10" t="s">
        <v>143</v>
      </c>
      <c r="R192" s="10" t="s">
        <v>502</v>
      </c>
      <c r="S192" s="10"/>
      <c r="T192" s="10" t="s">
        <v>207</v>
      </c>
      <c r="U192" s="10" t="n">
        <v>209</v>
      </c>
    </row>
    <row r="193" customFormat="false" ht="23.85" hidden="false" customHeight="false" outlineLevel="0" collapsed="false">
      <c r="A193" s="10" t="n">
        <v>192</v>
      </c>
      <c r="B193" s="10" t="s">
        <v>88</v>
      </c>
      <c r="C193" s="21" t="n">
        <v>46295</v>
      </c>
      <c r="D193" s="10" t="s">
        <v>596</v>
      </c>
      <c r="E193" s="10" t="s">
        <v>114</v>
      </c>
      <c r="F193" s="10" t="s">
        <v>597</v>
      </c>
      <c r="G193" s="10" t="s">
        <v>192</v>
      </c>
      <c r="H193" s="10"/>
      <c r="I193" s="9" t="n">
        <v>88726.71</v>
      </c>
      <c r="J193" s="9" t="n">
        <v>88726.71</v>
      </c>
      <c r="K193" s="10" t="s">
        <v>95</v>
      </c>
      <c r="L193" s="10" t="s">
        <v>100</v>
      </c>
      <c r="M193" s="16" t="str">
        <f aca="false">IFERROR(VLOOKUP(N193,Словарь!$A$2:$B$15,2,FALSE()),"Нужно решение")</f>
        <v>Выполнено, ждёт акта</v>
      </c>
      <c r="N193" s="10" t="s">
        <v>150</v>
      </c>
      <c r="O193" s="10"/>
      <c r="P193" s="22" t="str">
        <f aca="true">IF(AND(OR(M193="Не начато",M193="В работе",M193="Нужно решение"),C193&lt;TODAY()),TODAY()-C193,"")</f>
        <v/>
      </c>
      <c r="Q193" s="10" t="s">
        <v>238</v>
      </c>
      <c r="R193" s="10" t="s">
        <v>487</v>
      </c>
      <c r="S193" s="10"/>
      <c r="T193" s="10" t="s">
        <v>319</v>
      </c>
      <c r="U193" s="10" t="n">
        <v>213</v>
      </c>
    </row>
    <row r="194" customFormat="false" ht="23.85" hidden="false" customHeight="false" outlineLevel="0" collapsed="false">
      <c r="A194" s="10" t="n">
        <v>193</v>
      </c>
      <c r="B194" s="10" t="s">
        <v>88</v>
      </c>
      <c r="C194" s="21" t="n">
        <v>46295</v>
      </c>
      <c r="D194" s="10" t="s">
        <v>344</v>
      </c>
      <c r="E194" s="10" t="s">
        <v>114</v>
      </c>
      <c r="F194" s="10" t="s">
        <v>598</v>
      </c>
      <c r="G194" s="10" t="s">
        <v>188</v>
      </c>
      <c r="H194" s="10"/>
      <c r="I194" s="9" t="n">
        <v>100200</v>
      </c>
      <c r="J194" s="9" t="n">
        <v>100200</v>
      </c>
      <c r="K194" s="10" t="s">
        <v>97</v>
      </c>
      <c r="L194" s="10" t="s">
        <v>100</v>
      </c>
      <c r="M194" s="16" t="str">
        <f aca="false">IFERROR(VLOOKUP(N194,Словарь!$A$2:$B$15,2,FALSE()),"Нужно решение")</f>
        <v>Выполнено, ждёт акта</v>
      </c>
      <c r="N194" s="10" t="s">
        <v>150</v>
      </c>
      <c r="O194" s="10"/>
      <c r="P194" s="22" t="str">
        <f aca="true">IF(AND(OR(M194="Не начато",M194="В работе",M194="Нужно решение"),C194&lt;TODAY()),TODAY()-C194,"")</f>
        <v/>
      </c>
      <c r="Q194" s="10" t="s">
        <v>238</v>
      </c>
      <c r="R194" s="10" t="s">
        <v>487</v>
      </c>
      <c r="S194" s="10"/>
      <c r="T194" s="10" t="s">
        <v>319</v>
      </c>
      <c r="U194" s="10" t="n">
        <v>214</v>
      </c>
    </row>
    <row r="195" customFormat="false" ht="23.85" hidden="false" customHeight="false" outlineLevel="0" collapsed="false">
      <c r="A195" s="10" t="n">
        <v>194</v>
      </c>
      <c r="B195" s="10" t="s">
        <v>88</v>
      </c>
      <c r="C195" s="21" t="n">
        <v>46295</v>
      </c>
      <c r="D195" s="10" t="s">
        <v>344</v>
      </c>
      <c r="E195" s="10" t="s">
        <v>114</v>
      </c>
      <c r="F195" s="10" t="s">
        <v>599</v>
      </c>
      <c r="G195" s="10" t="s">
        <v>148</v>
      </c>
      <c r="H195" s="10"/>
      <c r="I195" s="9" t="n">
        <v>9028.76</v>
      </c>
      <c r="J195" s="9" t="n">
        <v>9028.76</v>
      </c>
      <c r="K195" s="10" t="s">
        <v>96</v>
      </c>
      <c r="L195" s="10" t="s">
        <v>100</v>
      </c>
      <c r="M195" s="16" t="str">
        <f aca="false">IFERROR(VLOOKUP(N195,Словарь!$A$2:$B$15,2,FALSE()),"Нужно решение")</f>
        <v>Выполнено, ждёт акта</v>
      </c>
      <c r="N195" s="10" t="s">
        <v>150</v>
      </c>
      <c r="O195" s="10"/>
      <c r="P195" s="22" t="str">
        <f aca="true">IF(AND(OR(M195="Не начато",M195="В работе",M195="Нужно решение"),C195&lt;TODAY()),TODAY()-C195,"")</f>
        <v/>
      </c>
      <c r="Q195" s="10" t="s">
        <v>238</v>
      </c>
      <c r="R195" s="10" t="s">
        <v>487</v>
      </c>
      <c r="S195" s="10"/>
      <c r="T195" s="10" t="s">
        <v>319</v>
      </c>
      <c r="U195" s="10" t="n">
        <v>215</v>
      </c>
    </row>
    <row r="196" customFormat="false" ht="23.85" hidden="false" customHeight="false" outlineLevel="0" collapsed="false">
      <c r="A196" s="10" t="n">
        <v>195</v>
      </c>
      <c r="B196" s="10" t="s">
        <v>88</v>
      </c>
      <c r="C196" s="21" t="n">
        <v>46295</v>
      </c>
      <c r="D196" s="10" t="s">
        <v>344</v>
      </c>
      <c r="E196" s="10" t="s">
        <v>114</v>
      </c>
      <c r="F196" s="10" t="s">
        <v>600</v>
      </c>
      <c r="G196" s="10" t="s">
        <v>188</v>
      </c>
      <c r="H196" s="10"/>
      <c r="I196" s="9"/>
      <c r="J196" s="9"/>
      <c r="K196" s="10" t="s">
        <v>97</v>
      </c>
      <c r="L196" s="10" t="s">
        <v>100</v>
      </c>
      <c r="M196" s="16" t="str">
        <f aca="false">IFERROR(VLOOKUP(N196,Словарь!$A$2:$B$15,2,FALSE()),"Нужно решение")</f>
        <v>Не начато</v>
      </c>
      <c r="N196" s="10" t="s">
        <v>10</v>
      </c>
      <c r="O196" s="10"/>
      <c r="P196" s="22" t="n">
        <f aca="true">IF(AND(OR(M196="Не начато",M196="В работе",M196="Нужно решение"),C196&lt;TODAY()),TODAY()-C196,"")</f>
        <v>27</v>
      </c>
      <c r="Q196" s="10" t="s">
        <v>238</v>
      </c>
      <c r="R196" s="10" t="s">
        <v>487</v>
      </c>
      <c r="S196" s="10"/>
      <c r="T196" s="10"/>
      <c r="U196" s="10" t="n">
        <v>216</v>
      </c>
    </row>
    <row r="197" customFormat="false" ht="23.85" hidden="false" customHeight="false" outlineLevel="0" collapsed="false">
      <c r="A197" s="10" t="n">
        <v>196</v>
      </c>
      <c r="B197" s="10" t="s">
        <v>88</v>
      </c>
      <c r="C197" s="21" t="n">
        <v>46295</v>
      </c>
      <c r="D197" s="10" t="s">
        <v>345</v>
      </c>
      <c r="E197" s="10" t="s">
        <v>114</v>
      </c>
      <c r="F197" s="10" t="s">
        <v>601</v>
      </c>
      <c r="G197" s="10" t="s">
        <v>169</v>
      </c>
      <c r="H197" s="10"/>
      <c r="I197" s="9" t="n">
        <v>27606.65</v>
      </c>
      <c r="J197" s="9" t="n">
        <v>27606.65</v>
      </c>
      <c r="K197" s="10" t="s">
        <v>96</v>
      </c>
      <c r="L197" s="10" t="s">
        <v>100</v>
      </c>
      <c r="M197" s="16" t="str">
        <f aca="false">IFERROR(VLOOKUP(N197,Словарь!$A$2:$B$15,2,FALSE()),"Нужно решение")</f>
        <v>Выполнено, ждёт акта</v>
      </c>
      <c r="N197" s="10" t="s">
        <v>150</v>
      </c>
      <c r="O197" s="10"/>
      <c r="P197" s="22" t="str">
        <f aca="true">IF(AND(OR(M197="Не начато",M197="В работе",M197="Нужно решение"),C197&lt;TODAY()),TODAY()-C197,"")</f>
        <v/>
      </c>
      <c r="Q197" s="10" t="s">
        <v>238</v>
      </c>
      <c r="R197" s="10" t="s">
        <v>487</v>
      </c>
      <c r="S197" s="10"/>
      <c r="T197" s="10" t="s">
        <v>319</v>
      </c>
      <c r="U197" s="10" t="n">
        <v>217</v>
      </c>
    </row>
    <row r="198" customFormat="false" ht="23.85" hidden="false" customHeight="false" outlineLevel="0" collapsed="false">
      <c r="A198" s="10" t="n">
        <v>197</v>
      </c>
      <c r="B198" s="10" t="s">
        <v>88</v>
      </c>
      <c r="C198" s="21" t="n">
        <v>46295</v>
      </c>
      <c r="D198" s="10" t="s">
        <v>345</v>
      </c>
      <c r="E198" s="10" t="s">
        <v>114</v>
      </c>
      <c r="F198" s="10" t="s">
        <v>602</v>
      </c>
      <c r="G198" s="10" t="s">
        <v>245</v>
      </c>
      <c r="H198" s="10"/>
      <c r="I198" s="9"/>
      <c r="J198" s="9"/>
      <c r="K198" s="10" t="s">
        <v>95</v>
      </c>
      <c r="L198" s="10" t="s">
        <v>100</v>
      </c>
      <c r="M198" s="16" t="str">
        <f aca="false">IFERROR(VLOOKUP(N198,Словарь!$A$2:$B$15,2,FALSE()),"Нужно решение")</f>
        <v>Не начато</v>
      </c>
      <c r="N198" s="10" t="s">
        <v>10</v>
      </c>
      <c r="O198" s="10"/>
      <c r="P198" s="22" t="n">
        <f aca="true">IF(AND(OR(M198="Не начато",M198="В работе",M198="Нужно решение"),C198&lt;TODAY()),TODAY()-C198,"")</f>
        <v>27</v>
      </c>
      <c r="Q198" s="10" t="s">
        <v>238</v>
      </c>
      <c r="R198" s="10" t="s">
        <v>487</v>
      </c>
      <c r="S198" s="10"/>
      <c r="T198" s="10"/>
      <c r="U198" s="10" t="n">
        <v>218</v>
      </c>
    </row>
    <row r="199" customFormat="false" ht="23.85" hidden="false" customHeight="false" outlineLevel="0" collapsed="false">
      <c r="A199" s="10" t="n">
        <v>198</v>
      </c>
      <c r="B199" s="10" t="s">
        <v>88</v>
      </c>
      <c r="C199" s="21" t="n">
        <v>46295</v>
      </c>
      <c r="D199" s="10" t="s">
        <v>345</v>
      </c>
      <c r="E199" s="10" t="s">
        <v>114</v>
      </c>
      <c r="F199" s="10" t="s">
        <v>603</v>
      </c>
      <c r="G199" s="10" t="s">
        <v>142</v>
      </c>
      <c r="H199" s="10" t="s">
        <v>604</v>
      </c>
      <c r="I199" s="9"/>
      <c r="J199" s="9"/>
      <c r="K199" s="10" t="s">
        <v>95</v>
      </c>
      <c r="L199" s="10" t="s">
        <v>100</v>
      </c>
      <c r="M199" s="16" t="str">
        <f aca="false">IFERROR(VLOOKUP(N199,Словарь!$A$2:$B$15,2,FALSE()),"Нужно решение")</f>
        <v>Не начато</v>
      </c>
      <c r="N199" s="10" t="s">
        <v>10</v>
      </c>
      <c r="O199" s="10"/>
      <c r="P199" s="22" t="n">
        <f aca="true">IF(AND(OR(M199="Не начато",M199="В работе",M199="Нужно решение"),C199&lt;TODAY()),TODAY()-C199,"")</f>
        <v>27</v>
      </c>
      <c r="Q199" s="10" t="s">
        <v>238</v>
      </c>
      <c r="R199" s="10" t="s">
        <v>487</v>
      </c>
      <c r="S199" s="10"/>
      <c r="T199" s="10"/>
      <c r="U199" s="10" t="n">
        <v>219</v>
      </c>
    </row>
    <row r="200" customFormat="false" ht="23.85" hidden="false" customHeight="false" outlineLevel="0" collapsed="false">
      <c r="A200" s="10" t="n">
        <v>199</v>
      </c>
      <c r="B200" s="10" t="s">
        <v>88</v>
      </c>
      <c r="C200" s="21" t="n">
        <v>46295</v>
      </c>
      <c r="D200" s="10" t="s">
        <v>605</v>
      </c>
      <c r="E200" s="10" t="s">
        <v>113</v>
      </c>
      <c r="F200" s="10" t="s">
        <v>406</v>
      </c>
      <c r="G200" s="10" t="s">
        <v>136</v>
      </c>
      <c r="H200" s="10"/>
      <c r="I200" s="9" t="n">
        <v>125000</v>
      </c>
      <c r="J200" s="9"/>
      <c r="K200" s="10" t="s">
        <v>96</v>
      </c>
      <c r="L200" s="10" t="s">
        <v>104</v>
      </c>
      <c r="M200" s="16" t="str">
        <f aca="false">IFERROR(VLOOKUP(N200,Словарь!$A$2:$B$15,2,FALSE()),"Нужно решение")</f>
        <v>Выполнено, ждёт акта</v>
      </c>
      <c r="N200" s="10" t="s">
        <v>150</v>
      </c>
      <c r="O200" s="10" t="s">
        <v>151</v>
      </c>
      <c r="P200" s="22" t="str">
        <f aca="true">IF(AND(OR(M200="Не начато",M200="В работе",M200="Нужно решение"),C200&lt;TODAY()),TODAY()-C200,"")</f>
        <v/>
      </c>
      <c r="Q200" s="10" t="s">
        <v>143</v>
      </c>
      <c r="R200" s="10" t="s">
        <v>487</v>
      </c>
      <c r="S200" s="10"/>
      <c r="T200" s="10" t="s">
        <v>152</v>
      </c>
      <c r="U200" s="10" t="n">
        <v>212</v>
      </c>
    </row>
    <row r="201" customFormat="false" ht="35.05" hidden="false" customHeight="false" outlineLevel="0" collapsed="false">
      <c r="A201" s="10" t="n">
        <v>200</v>
      </c>
      <c r="B201" s="10" t="s">
        <v>88</v>
      </c>
      <c r="C201" s="21" t="n">
        <v>46295</v>
      </c>
      <c r="D201" s="10" t="s">
        <v>282</v>
      </c>
      <c r="E201" s="10" t="s">
        <v>112</v>
      </c>
      <c r="F201" s="10" t="s">
        <v>606</v>
      </c>
      <c r="G201" s="10" t="s">
        <v>174</v>
      </c>
      <c r="H201" s="10" t="s">
        <v>607</v>
      </c>
      <c r="I201" s="9" t="n">
        <v>77104.14</v>
      </c>
      <c r="J201" s="9"/>
      <c r="K201" s="10" t="s">
        <v>95</v>
      </c>
      <c r="L201" s="10" t="s">
        <v>105</v>
      </c>
      <c r="M201" s="16" t="str">
        <f aca="false">IFERROR(VLOOKUP(N201,Словарь!$A$2:$B$15,2,FALSE()),"Нужно решение")</f>
        <v>Нужно решение</v>
      </c>
      <c r="N201" s="10" t="s">
        <v>541</v>
      </c>
      <c r="O201" s="10"/>
      <c r="P201" s="22" t="n">
        <f aca="true">IF(AND(OR(M201="Не начато",M201="В работе",M201="Нужно решение"),C201&lt;TODAY()),TODAY()-C201,"")</f>
        <v>27</v>
      </c>
      <c r="Q201" s="10" t="s">
        <v>238</v>
      </c>
      <c r="R201" s="10" t="s">
        <v>487</v>
      </c>
      <c r="S201" s="10" t="s">
        <v>542</v>
      </c>
      <c r="T201" s="10" t="s">
        <v>608</v>
      </c>
      <c r="U201" s="10" t="n">
        <v>220</v>
      </c>
    </row>
    <row r="202" customFormat="false" ht="23.85" hidden="false" customHeight="false" outlineLevel="0" collapsed="false">
      <c r="A202" s="10" t="n">
        <v>201</v>
      </c>
      <c r="B202" s="10" t="s">
        <v>88</v>
      </c>
      <c r="C202" s="21" t="n">
        <v>46295</v>
      </c>
      <c r="D202" s="10" t="s">
        <v>282</v>
      </c>
      <c r="E202" s="10" t="s">
        <v>112</v>
      </c>
      <c r="F202" s="10" t="s">
        <v>406</v>
      </c>
      <c r="G202" s="10" t="s">
        <v>136</v>
      </c>
      <c r="H202" s="10"/>
      <c r="I202" s="9" t="n">
        <v>125000</v>
      </c>
      <c r="J202" s="9"/>
      <c r="K202" s="10" t="s">
        <v>96</v>
      </c>
      <c r="L202" s="10" t="s">
        <v>105</v>
      </c>
      <c r="M202" s="16" t="str">
        <f aca="false">IFERROR(VLOOKUP(N202,Словарь!$A$2:$B$15,2,FALSE()),"Нужно решение")</f>
        <v>Выполнено, ждёт акта</v>
      </c>
      <c r="N202" s="10" t="s">
        <v>150</v>
      </c>
      <c r="O202" s="10" t="s">
        <v>151</v>
      </c>
      <c r="P202" s="22" t="str">
        <f aca="true">IF(AND(OR(M202="Не начато",M202="В работе",M202="Нужно решение"),C202&lt;TODAY()),TODAY()-C202,"")</f>
        <v/>
      </c>
      <c r="Q202" s="10" t="s">
        <v>238</v>
      </c>
      <c r="R202" s="10" t="s">
        <v>487</v>
      </c>
      <c r="S202" s="10"/>
      <c r="T202" s="10" t="s">
        <v>239</v>
      </c>
      <c r="U202" s="10" t="n">
        <v>221</v>
      </c>
    </row>
    <row r="203" customFormat="false" ht="23.85" hidden="false" customHeight="false" outlineLevel="0" collapsed="false">
      <c r="A203" s="10" t="n">
        <v>202</v>
      </c>
      <c r="B203" s="10" t="s">
        <v>88</v>
      </c>
      <c r="C203" s="21" t="n">
        <v>46295</v>
      </c>
      <c r="D203" s="10" t="s">
        <v>282</v>
      </c>
      <c r="E203" s="10" t="s">
        <v>112</v>
      </c>
      <c r="F203" s="10" t="s">
        <v>141</v>
      </c>
      <c r="G203" s="10" t="s">
        <v>142</v>
      </c>
      <c r="H203" s="10" t="s">
        <v>607</v>
      </c>
      <c r="I203" s="9"/>
      <c r="J203" s="9"/>
      <c r="K203" s="10" t="s">
        <v>96</v>
      </c>
      <c r="L203" s="10" t="s">
        <v>105</v>
      </c>
      <c r="M203" s="16" t="str">
        <f aca="false">IFERROR(VLOOKUP(N203,Словарь!$A$2:$B$15,2,FALSE()),"Нужно решение")</f>
        <v>Выполнено, ждёт акта</v>
      </c>
      <c r="N203" s="10" t="s">
        <v>150</v>
      </c>
      <c r="O203" s="10" t="s">
        <v>171</v>
      </c>
      <c r="P203" s="22" t="str">
        <f aca="true">IF(AND(OR(M203="Не начато",M203="В работе",M203="Нужно решение"),C203&lt;TODAY()),TODAY()-C203,"")</f>
        <v/>
      </c>
      <c r="Q203" s="10" t="s">
        <v>238</v>
      </c>
      <c r="R203" s="10" t="s">
        <v>487</v>
      </c>
      <c r="S203" s="10"/>
      <c r="T203" s="10" t="s">
        <v>495</v>
      </c>
      <c r="U203" s="10" t="n">
        <v>222</v>
      </c>
    </row>
    <row r="204" customFormat="false" ht="23.85" hidden="false" customHeight="false" outlineLevel="0" collapsed="false">
      <c r="A204" s="10" t="n">
        <v>203</v>
      </c>
      <c r="B204" s="10" t="s">
        <v>88</v>
      </c>
      <c r="C204" s="21" t="n">
        <v>46295</v>
      </c>
      <c r="D204" s="10" t="s">
        <v>225</v>
      </c>
      <c r="E204" s="10" t="s">
        <v>112</v>
      </c>
      <c r="F204" s="10" t="s">
        <v>609</v>
      </c>
      <c r="G204" s="10" t="s">
        <v>158</v>
      </c>
      <c r="H204" s="10" t="s">
        <v>610</v>
      </c>
      <c r="I204" s="9" t="n">
        <v>5000</v>
      </c>
      <c r="J204" s="9"/>
      <c r="K204" s="10" t="s">
        <v>97</v>
      </c>
      <c r="L204" s="10" t="s">
        <v>100</v>
      </c>
      <c r="M204" s="16" t="str">
        <f aca="false">IFERROR(VLOOKUP(N204,Словарь!$A$2:$B$15,2,FALSE()),"Нужно решение")</f>
        <v>Не начато</v>
      </c>
      <c r="N204" s="10" t="s">
        <v>10</v>
      </c>
      <c r="O204" s="10"/>
      <c r="P204" s="22" t="n">
        <f aca="true">IF(AND(OR(M204="Не начато",M204="В работе",M204="Нужно решение"),C204&lt;TODAY()),TODAY()-C204,"")</f>
        <v>27</v>
      </c>
      <c r="Q204" s="10" t="s">
        <v>238</v>
      </c>
      <c r="R204" s="10" t="s">
        <v>487</v>
      </c>
      <c r="S204" s="10"/>
      <c r="T204" s="10"/>
      <c r="U204" s="10" t="n">
        <v>223</v>
      </c>
    </row>
    <row r="205" customFormat="false" ht="23.85" hidden="false" customHeight="false" outlineLevel="0" collapsed="false">
      <c r="A205" s="10" t="n">
        <v>204</v>
      </c>
      <c r="B205" s="10" t="s">
        <v>88</v>
      </c>
      <c r="C205" s="21" t="n">
        <v>46295</v>
      </c>
      <c r="D205" s="10" t="s">
        <v>225</v>
      </c>
      <c r="E205" s="10" t="s">
        <v>112</v>
      </c>
      <c r="F205" s="10" t="s">
        <v>611</v>
      </c>
      <c r="G205" s="10" t="s">
        <v>174</v>
      </c>
      <c r="H205" s="10" t="s">
        <v>612</v>
      </c>
      <c r="I205" s="9"/>
      <c r="J205" s="9"/>
      <c r="K205" s="10" t="s">
        <v>96</v>
      </c>
      <c r="L205" s="10" t="s">
        <v>108</v>
      </c>
      <c r="M205" s="16" t="str">
        <f aca="false">IFERROR(VLOOKUP(N205,Словарь!$A$2:$B$15,2,FALSE()),"Нужно решение")</f>
        <v>Выполнено, ждёт акта</v>
      </c>
      <c r="N205" s="10" t="s">
        <v>150</v>
      </c>
      <c r="O205" s="10" t="s">
        <v>151</v>
      </c>
      <c r="P205" s="22" t="str">
        <f aca="true">IF(AND(OR(M205="Не начато",M205="В работе",M205="Нужно решение"),C205&lt;TODAY()),TODAY()-C205,"")</f>
        <v/>
      </c>
      <c r="Q205" s="10" t="s">
        <v>238</v>
      </c>
      <c r="R205" s="10" t="s">
        <v>487</v>
      </c>
      <c r="S205" s="10"/>
      <c r="T205" s="10" t="s">
        <v>495</v>
      </c>
      <c r="U205" s="10" t="n">
        <v>224</v>
      </c>
    </row>
    <row r="206" customFormat="false" ht="23.85" hidden="false" customHeight="false" outlineLevel="0" collapsed="false">
      <c r="A206" s="10" t="n">
        <v>205</v>
      </c>
      <c r="B206" s="10" t="s">
        <v>88</v>
      </c>
      <c r="C206" s="21" t="n">
        <v>46295</v>
      </c>
      <c r="D206" s="10" t="s">
        <v>347</v>
      </c>
      <c r="E206" s="10" t="s">
        <v>114</v>
      </c>
      <c r="F206" s="10" t="s">
        <v>613</v>
      </c>
      <c r="G206" s="10" t="s">
        <v>192</v>
      </c>
      <c r="H206" s="10"/>
      <c r="I206" s="9"/>
      <c r="J206" s="9"/>
      <c r="K206" s="10" t="s">
        <v>95</v>
      </c>
      <c r="L206" s="10" t="s">
        <v>100</v>
      </c>
      <c r="M206" s="16" t="str">
        <f aca="false">IFERROR(VLOOKUP(N206,Словарь!$A$2:$B$15,2,FALSE()),"Нужно решение")</f>
        <v>Не начато</v>
      </c>
      <c r="N206" s="10" t="s">
        <v>10</v>
      </c>
      <c r="O206" s="10"/>
      <c r="P206" s="22" t="n">
        <f aca="true">IF(AND(OR(M206="Не начато",M206="В работе",M206="Нужно решение"),C206&lt;TODAY()),TODAY()-C206,"")</f>
        <v>27</v>
      </c>
      <c r="Q206" s="10" t="s">
        <v>238</v>
      </c>
      <c r="R206" s="10" t="s">
        <v>487</v>
      </c>
      <c r="S206" s="10"/>
      <c r="T206" s="10"/>
      <c r="U206" s="10" t="n">
        <v>225</v>
      </c>
    </row>
    <row r="207" customFormat="false" ht="23.85" hidden="false" customHeight="false" outlineLevel="0" collapsed="false">
      <c r="A207" s="10" t="n">
        <v>206</v>
      </c>
      <c r="B207" s="10" t="s">
        <v>88</v>
      </c>
      <c r="C207" s="21" t="n">
        <v>46295</v>
      </c>
      <c r="D207" s="10" t="s">
        <v>347</v>
      </c>
      <c r="E207" s="10" t="s">
        <v>114</v>
      </c>
      <c r="F207" s="10" t="s">
        <v>614</v>
      </c>
      <c r="G207" s="10" t="s">
        <v>188</v>
      </c>
      <c r="H207" s="10"/>
      <c r="I207" s="9"/>
      <c r="J207" s="9"/>
      <c r="K207" s="10" t="s">
        <v>97</v>
      </c>
      <c r="L207" s="10" t="s">
        <v>100</v>
      </c>
      <c r="M207" s="16" t="str">
        <f aca="false">IFERROR(VLOOKUP(N207,Словарь!$A$2:$B$15,2,FALSE()),"Нужно решение")</f>
        <v>Не начато</v>
      </c>
      <c r="N207" s="10" t="s">
        <v>10</v>
      </c>
      <c r="O207" s="10"/>
      <c r="P207" s="22" t="n">
        <f aca="true">IF(AND(OR(M207="Не начато",M207="В работе",M207="Нужно решение"),C207&lt;TODAY()),TODAY()-C207,"")</f>
        <v>27</v>
      </c>
      <c r="Q207" s="10" t="s">
        <v>238</v>
      </c>
      <c r="R207" s="10" t="s">
        <v>487</v>
      </c>
      <c r="S207" s="10"/>
      <c r="T207" s="10"/>
      <c r="U207" s="10" t="n">
        <v>226</v>
      </c>
    </row>
    <row r="208" customFormat="false" ht="23.85" hidden="false" customHeight="false" outlineLevel="0" collapsed="false">
      <c r="A208" s="10" t="n">
        <v>207</v>
      </c>
      <c r="B208" s="10" t="s">
        <v>88</v>
      </c>
      <c r="C208" s="21" t="n">
        <v>46295</v>
      </c>
      <c r="D208" s="10" t="s">
        <v>347</v>
      </c>
      <c r="E208" s="10" t="s">
        <v>114</v>
      </c>
      <c r="F208" s="10" t="s">
        <v>439</v>
      </c>
      <c r="G208" s="10" t="s">
        <v>142</v>
      </c>
      <c r="H208" s="10"/>
      <c r="I208" s="9"/>
      <c r="J208" s="9"/>
      <c r="K208" s="10" t="s">
        <v>95</v>
      </c>
      <c r="L208" s="10" t="s">
        <v>100</v>
      </c>
      <c r="M208" s="16" t="str">
        <f aca="false">IFERROR(VLOOKUP(N208,Словарь!$A$2:$B$15,2,FALSE()),"Нужно решение")</f>
        <v>Не начато</v>
      </c>
      <c r="N208" s="10" t="s">
        <v>10</v>
      </c>
      <c r="O208" s="10"/>
      <c r="P208" s="22" t="n">
        <f aca="true">IF(AND(OR(M208="Не начато",M208="В работе",M208="Нужно решение"),C208&lt;TODAY()),TODAY()-C208,"")</f>
        <v>27</v>
      </c>
      <c r="Q208" s="10" t="s">
        <v>238</v>
      </c>
      <c r="R208" s="10" t="s">
        <v>487</v>
      </c>
      <c r="S208" s="10"/>
      <c r="T208" s="10"/>
      <c r="U208" s="10" t="n">
        <v>227</v>
      </c>
    </row>
    <row r="209" customFormat="false" ht="23.85" hidden="false" customHeight="false" outlineLevel="0" collapsed="false">
      <c r="A209" s="10" t="n">
        <v>208</v>
      </c>
      <c r="B209" s="10" t="s">
        <v>88</v>
      </c>
      <c r="C209" s="21" t="n">
        <v>46295</v>
      </c>
      <c r="D209" s="10" t="s">
        <v>347</v>
      </c>
      <c r="E209" s="10" t="s">
        <v>114</v>
      </c>
      <c r="F209" s="10" t="s">
        <v>615</v>
      </c>
      <c r="G209" s="10" t="s">
        <v>192</v>
      </c>
      <c r="H209" s="10"/>
      <c r="I209" s="9" t="n">
        <v>70930.82</v>
      </c>
      <c r="J209" s="9"/>
      <c r="K209" s="10" t="s">
        <v>97</v>
      </c>
      <c r="L209" s="10" t="s">
        <v>100</v>
      </c>
      <c r="M209" s="16" t="str">
        <f aca="false">IFERROR(VLOOKUP(N209,Словарь!$A$2:$B$15,2,FALSE()),"Нужно решение")</f>
        <v>Не начато</v>
      </c>
      <c r="N209" s="10" t="s">
        <v>10</v>
      </c>
      <c r="O209" s="10"/>
      <c r="P209" s="22" t="n">
        <f aca="true">IF(AND(OR(M209="Не начато",M209="В работе",M209="Нужно решение"),C209&lt;TODAY()),TODAY()-C209,"")</f>
        <v>27</v>
      </c>
      <c r="Q209" s="10" t="s">
        <v>238</v>
      </c>
      <c r="R209" s="10" t="s">
        <v>487</v>
      </c>
      <c r="S209" s="10"/>
      <c r="T209" s="10"/>
      <c r="U209" s="10" t="n">
        <v>228</v>
      </c>
    </row>
    <row r="210" customFormat="false" ht="23.85" hidden="false" customHeight="false" outlineLevel="0" collapsed="false">
      <c r="A210" s="10" t="n">
        <v>209</v>
      </c>
      <c r="B210" s="10" t="s">
        <v>88</v>
      </c>
      <c r="C210" s="21" t="n">
        <v>46295</v>
      </c>
      <c r="D210" s="10" t="s">
        <v>349</v>
      </c>
      <c r="E210" s="10" t="s">
        <v>114</v>
      </c>
      <c r="F210" s="10" t="s">
        <v>616</v>
      </c>
      <c r="G210" s="10" t="s">
        <v>188</v>
      </c>
      <c r="H210" s="10"/>
      <c r="I210" s="9" t="n">
        <v>268735.62</v>
      </c>
      <c r="J210" s="9" t="n">
        <v>268735.62</v>
      </c>
      <c r="K210" s="10" t="s">
        <v>96</v>
      </c>
      <c r="L210" s="10" t="s">
        <v>100</v>
      </c>
      <c r="M210" s="16" t="str">
        <f aca="false">IFERROR(VLOOKUP(N210,Словарь!$A$2:$B$15,2,FALSE()),"Нужно решение")</f>
        <v>Выполнено, ждёт акта</v>
      </c>
      <c r="N210" s="10" t="s">
        <v>150</v>
      </c>
      <c r="O210" s="10"/>
      <c r="P210" s="22" t="str">
        <f aca="true">IF(AND(OR(M210="Не начато",M210="В работе",M210="Нужно решение"),C210&lt;TODAY()),TODAY()-C210,"")</f>
        <v/>
      </c>
      <c r="Q210" s="10" t="s">
        <v>238</v>
      </c>
      <c r="R210" s="10" t="s">
        <v>487</v>
      </c>
      <c r="S210" s="10"/>
      <c r="T210" s="10" t="s">
        <v>319</v>
      </c>
      <c r="U210" s="10" t="n">
        <v>229</v>
      </c>
    </row>
    <row r="211" customFormat="false" ht="23.85" hidden="false" customHeight="false" outlineLevel="0" collapsed="false">
      <c r="A211" s="10" t="n">
        <v>210</v>
      </c>
      <c r="B211" s="10" t="s">
        <v>88</v>
      </c>
      <c r="C211" s="21" t="n">
        <v>46295</v>
      </c>
      <c r="D211" s="10" t="s">
        <v>349</v>
      </c>
      <c r="E211" s="10" t="s">
        <v>114</v>
      </c>
      <c r="F211" s="10" t="s">
        <v>617</v>
      </c>
      <c r="G211" s="10" t="s">
        <v>245</v>
      </c>
      <c r="H211" s="10"/>
      <c r="I211" s="9"/>
      <c r="J211" s="9"/>
      <c r="K211" s="10" t="s">
        <v>97</v>
      </c>
      <c r="L211" s="10" t="s">
        <v>100</v>
      </c>
      <c r="M211" s="16" t="str">
        <f aca="false">IFERROR(VLOOKUP(N211,Словарь!$A$2:$B$15,2,FALSE()),"Нужно решение")</f>
        <v>Не начато</v>
      </c>
      <c r="N211" s="10" t="s">
        <v>10</v>
      </c>
      <c r="O211" s="10"/>
      <c r="P211" s="22" t="n">
        <f aca="true">IF(AND(OR(M211="Не начато",M211="В работе",M211="Нужно решение"),C211&lt;TODAY()),TODAY()-C211,"")</f>
        <v>27</v>
      </c>
      <c r="Q211" s="10" t="s">
        <v>238</v>
      </c>
      <c r="R211" s="10" t="s">
        <v>487</v>
      </c>
      <c r="S211" s="10"/>
      <c r="T211" s="10"/>
      <c r="U211" s="10" t="n">
        <v>230</v>
      </c>
    </row>
    <row r="212" customFormat="false" ht="23.85" hidden="false" customHeight="false" outlineLevel="0" collapsed="false">
      <c r="A212" s="10" t="n">
        <v>211</v>
      </c>
      <c r="B212" s="10" t="s">
        <v>88</v>
      </c>
      <c r="C212" s="21" t="n">
        <v>46295</v>
      </c>
      <c r="D212" s="10" t="s">
        <v>349</v>
      </c>
      <c r="E212" s="10" t="s">
        <v>114</v>
      </c>
      <c r="F212" s="10" t="s">
        <v>618</v>
      </c>
      <c r="G212" s="10" t="s">
        <v>142</v>
      </c>
      <c r="H212" s="10"/>
      <c r="I212" s="9" t="n">
        <v>35550</v>
      </c>
      <c r="J212" s="9"/>
      <c r="K212" s="10" t="s">
        <v>97</v>
      </c>
      <c r="L212" s="10" t="s">
        <v>100</v>
      </c>
      <c r="M212" s="16" t="str">
        <f aca="false">IFERROR(VLOOKUP(N212,Словарь!$A$2:$B$15,2,FALSE()),"Нужно решение")</f>
        <v>Не начато</v>
      </c>
      <c r="N212" s="10" t="s">
        <v>10</v>
      </c>
      <c r="O212" s="10"/>
      <c r="P212" s="22" t="n">
        <f aca="true">IF(AND(OR(M212="Не начато",M212="В работе",M212="Нужно решение"),C212&lt;TODAY()),TODAY()-C212,"")</f>
        <v>27</v>
      </c>
      <c r="Q212" s="10" t="s">
        <v>238</v>
      </c>
      <c r="R212" s="10" t="s">
        <v>487</v>
      </c>
      <c r="S212" s="10"/>
      <c r="T212" s="10"/>
      <c r="U212" s="10" t="n">
        <v>231</v>
      </c>
    </row>
    <row r="213" customFormat="false" ht="23.85" hidden="false" customHeight="false" outlineLevel="0" collapsed="false">
      <c r="A213" s="10" t="n">
        <v>212</v>
      </c>
      <c r="B213" s="10" t="s">
        <v>88</v>
      </c>
      <c r="C213" s="21" t="n">
        <v>46295</v>
      </c>
      <c r="D213" s="10" t="s">
        <v>349</v>
      </c>
      <c r="E213" s="10" t="s">
        <v>114</v>
      </c>
      <c r="F213" s="10" t="s">
        <v>619</v>
      </c>
      <c r="G213" s="10" t="s">
        <v>142</v>
      </c>
      <c r="H213" s="10"/>
      <c r="I213" s="9" t="n">
        <v>157500</v>
      </c>
      <c r="J213" s="9"/>
      <c r="K213" s="10" t="s">
        <v>95</v>
      </c>
      <c r="L213" s="10" t="s">
        <v>100</v>
      </c>
      <c r="M213" s="16" t="str">
        <f aca="false">IFERROR(VLOOKUP(N213,Словарь!$A$2:$B$15,2,FALSE()),"Нужно решение")</f>
        <v>Не начато</v>
      </c>
      <c r="N213" s="10" t="s">
        <v>10</v>
      </c>
      <c r="O213" s="10"/>
      <c r="P213" s="22" t="n">
        <f aca="true">IF(AND(OR(M213="Не начато",M213="В работе",M213="Нужно решение"),C213&lt;TODAY()),TODAY()-C213,"")</f>
        <v>27</v>
      </c>
      <c r="Q213" s="10" t="s">
        <v>238</v>
      </c>
      <c r="R213" s="10" t="s">
        <v>487</v>
      </c>
      <c r="S213" s="10"/>
      <c r="T213" s="10"/>
      <c r="U213" s="10" t="n">
        <v>232</v>
      </c>
    </row>
    <row r="214" customFormat="false" ht="23.85" hidden="false" customHeight="false" outlineLevel="0" collapsed="false">
      <c r="A214" s="10" t="n">
        <v>213</v>
      </c>
      <c r="B214" s="10" t="s">
        <v>88</v>
      </c>
      <c r="C214" s="21" t="n">
        <v>46295</v>
      </c>
      <c r="D214" s="10" t="s">
        <v>351</v>
      </c>
      <c r="E214" s="10" t="s">
        <v>114</v>
      </c>
      <c r="F214" s="10" t="s">
        <v>620</v>
      </c>
      <c r="G214" s="10" t="s">
        <v>148</v>
      </c>
      <c r="H214" s="10"/>
      <c r="I214" s="9" t="n">
        <v>4669.98</v>
      </c>
      <c r="J214" s="9" t="n">
        <v>4669.98</v>
      </c>
      <c r="K214" s="10" t="s">
        <v>96</v>
      </c>
      <c r="L214" s="10" t="s">
        <v>100</v>
      </c>
      <c r="M214" s="16" t="str">
        <f aca="false">IFERROR(VLOOKUP(N214,Словарь!$A$2:$B$15,2,FALSE()),"Нужно решение")</f>
        <v>Выполнено, ждёт акта</v>
      </c>
      <c r="N214" s="10" t="s">
        <v>150</v>
      </c>
      <c r="O214" s="10"/>
      <c r="P214" s="22" t="str">
        <f aca="true">IF(AND(OR(M214="Не начато",M214="В работе",M214="Нужно решение"),C214&lt;TODAY()),TODAY()-C214,"")</f>
        <v/>
      </c>
      <c r="Q214" s="10" t="s">
        <v>238</v>
      </c>
      <c r="R214" s="10" t="s">
        <v>487</v>
      </c>
      <c r="S214" s="10"/>
      <c r="T214" s="10" t="s">
        <v>319</v>
      </c>
      <c r="U214" s="10" t="n">
        <v>233</v>
      </c>
    </row>
    <row r="215" customFormat="false" ht="23.85" hidden="false" customHeight="false" outlineLevel="0" collapsed="false">
      <c r="A215" s="10" t="n">
        <v>214</v>
      </c>
      <c r="B215" s="10" t="s">
        <v>88</v>
      </c>
      <c r="C215" s="21" t="n">
        <v>46295</v>
      </c>
      <c r="D215" s="10" t="s">
        <v>351</v>
      </c>
      <c r="E215" s="10" t="s">
        <v>114</v>
      </c>
      <c r="F215" s="10" t="s">
        <v>348</v>
      </c>
      <c r="G215" s="10" t="s">
        <v>245</v>
      </c>
      <c r="H215" s="10"/>
      <c r="I215" s="9"/>
      <c r="J215" s="9"/>
      <c r="K215" s="10" t="s">
        <v>97</v>
      </c>
      <c r="L215" s="10" t="s">
        <v>100</v>
      </c>
      <c r="M215" s="16" t="str">
        <f aca="false">IFERROR(VLOOKUP(N215,Словарь!$A$2:$B$15,2,FALSE()),"Нужно решение")</f>
        <v>Не начато</v>
      </c>
      <c r="N215" s="10" t="s">
        <v>10</v>
      </c>
      <c r="O215" s="10"/>
      <c r="P215" s="22" t="n">
        <f aca="true">IF(AND(OR(M215="Не начато",M215="В работе",M215="Нужно решение"),C215&lt;TODAY()),TODAY()-C215,"")</f>
        <v>27</v>
      </c>
      <c r="Q215" s="10" t="s">
        <v>238</v>
      </c>
      <c r="R215" s="10" t="s">
        <v>487</v>
      </c>
      <c r="S215" s="10"/>
      <c r="T215" s="10"/>
      <c r="U215" s="10" t="n">
        <v>234</v>
      </c>
    </row>
    <row r="216" customFormat="false" ht="23.85" hidden="false" customHeight="false" outlineLevel="0" collapsed="false">
      <c r="A216" s="10" t="n">
        <v>215</v>
      </c>
      <c r="B216" s="10" t="s">
        <v>88</v>
      </c>
      <c r="C216" s="21" t="n">
        <v>46295</v>
      </c>
      <c r="D216" s="10" t="s">
        <v>351</v>
      </c>
      <c r="E216" s="10" t="s">
        <v>114</v>
      </c>
      <c r="F216" s="10" t="s">
        <v>621</v>
      </c>
      <c r="G216" s="10" t="s">
        <v>148</v>
      </c>
      <c r="H216" s="10"/>
      <c r="I216" s="9"/>
      <c r="J216" s="9"/>
      <c r="K216" s="10" t="s">
        <v>96</v>
      </c>
      <c r="L216" s="10" t="s">
        <v>100</v>
      </c>
      <c r="M216" s="16" t="str">
        <f aca="false">IFERROR(VLOOKUP(N216,Словарь!$A$2:$B$15,2,FALSE()),"Нужно решение")</f>
        <v>Не начато</v>
      </c>
      <c r="N216" s="10" t="s">
        <v>10</v>
      </c>
      <c r="O216" s="10"/>
      <c r="P216" s="22" t="n">
        <f aca="true">IF(AND(OR(M216="Не начато",M216="В работе",M216="Нужно решение"),C216&lt;TODAY()),TODAY()-C216,"")</f>
        <v>27</v>
      </c>
      <c r="Q216" s="10" t="s">
        <v>238</v>
      </c>
      <c r="R216" s="10" t="s">
        <v>487</v>
      </c>
      <c r="S216" s="10"/>
      <c r="T216" s="10"/>
      <c r="U216" s="10" t="n">
        <v>235</v>
      </c>
    </row>
    <row r="217" customFormat="false" ht="23.85" hidden="false" customHeight="false" outlineLevel="0" collapsed="false">
      <c r="A217" s="10" t="n">
        <v>216</v>
      </c>
      <c r="B217" s="10" t="s">
        <v>88</v>
      </c>
      <c r="C217" s="21" t="n">
        <v>46295</v>
      </c>
      <c r="D217" s="10" t="s">
        <v>353</v>
      </c>
      <c r="E217" s="10" t="s">
        <v>114</v>
      </c>
      <c r="F217" s="10" t="s">
        <v>622</v>
      </c>
      <c r="G217" s="10" t="s">
        <v>148</v>
      </c>
      <c r="H217" s="10"/>
      <c r="I217" s="9"/>
      <c r="J217" s="9"/>
      <c r="K217" s="10" t="s">
        <v>96</v>
      </c>
      <c r="L217" s="10" t="s">
        <v>100</v>
      </c>
      <c r="M217" s="16" t="str">
        <f aca="false">IFERROR(VLOOKUP(N217,Словарь!$A$2:$B$15,2,FALSE()),"Нужно решение")</f>
        <v>Не начато</v>
      </c>
      <c r="N217" s="10" t="s">
        <v>10</v>
      </c>
      <c r="O217" s="10"/>
      <c r="P217" s="22" t="n">
        <f aca="true">IF(AND(OR(M217="Не начато",M217="В работе",M217="Нужно решение"),C217&lt;TODAY()),TODAY()-C217,"")</f>
        <v>27</v>
      </c>
      <c r="Q217" s="10" t="s">
        <v>238</v>
      </c>
      <c r="R217" s="10" t="s">
        <v>487</v>
      </c>
      <c r="S217" s="10"/>
      <c r="T217" s="10"/>
      <c r="U217" s="10" t="n">
        <v>236</v>
      </c>
    </row>
    <row r="218" customFormat="false" ht="23.85" hidden="false" customHeight="false" outlineLevel="0" collapsed="false">
      <c r="A218" s="10" t="n">
        <v>217</v>
      </c>
      <c r="B218" s="10" t="s">
        <v>88</v>
      </c>
      <c r="C218" s="21" t="n">
        <v>46295</v>
      </c>
      <c r="D218" s="10" t="s">
        <v>623</v>
      </c>
      <c r="E218" s="10" t="s">
        <v>112</v>
      </c>
      <c r="F218" s="10" t="s">
        <v>406</v>
      </c>
      <c r="G218" s="10" t="s">
        <v>136</v>
      </c>
      <c r="H218" s="10"/>
      <c r="I218" s="9" t="n">
        <v>125000</v>
      </c>
      <c r="J218" s="9"/>
      <c r="K218" s="10" t="s">
        <v>96</v>
      </c>
      <c r="L218" s="10" t="s">
        <v>104</v>
      </c>
      <c r="M218" s="16" t="str">
        <f aca="false">IFERROR(VLOOKUP(N218,Словарь!$A$2:$B$15,2,FALSE()),"Нужно решение")</f>
        <v>Выполнено, ждёт акта</v>
      </c>
      <c r="N218" s="10" t="s">
        <v>150</v>
      </c>
      <c r="O218" s="10" t="s">
        <v>491</v>
      </c>
      <c r="P218" s="22" t="str">
        <f aca="true">IF(AND(OR(M218="Не начато",M218="В работе",M218="Нужно решение"),C218&lt;TODAY()),TODAY()-C218,"")</f>
        <v/>
      </c>
      <c r="Q218" s="10" t="s">
        <v>238</v>
      </c>
      <c r="R218" s="10" t="s">
        <v>487</v>
      </c>
      <c r="S218" s="10"/>
      <c r="T218" s="10" t="s">
        <v>492</v>
      </c>
      <c r="U218" s="10" t="n">
        <v>239</v>
      </c>
    </row>
    <row r="219" customFormat="false" ht="23.85" hidden="false" customHeight="false" outlineLevel="0" collapsed="false">
      <c r="A219" s="10" t="n">
        <v>218</v>
      </c>
      <c r="B219" s="10" t="s">
        <v>88</v>
      </c>
      <c r="C219" s="21" t="n">
        <v>46295</v>
      </c>
      <c r="D219" s="10" t="s">
        <v>624</v>
      </c>
      <c r="E219" s="10" t="s">
        <v>112</v>
      </c>
      <c r="F219" s="10" t="s">
        <v>406</v>
      </c>
      <c r="G219" s="10" t="s">
        <v>136</v>
      </c>
      <c r="H219" s="10"/>
      <c r="I219" s="9" t="n">
        <v>125000</v>
      </c>
      <c r="J219" s="9"/>
      <c r="K219" s="10" t="s">
        <v>96</v>
      </c>
      <c r="L219" s="10" t="s">
        <v>104</v>
      </c>
      <c r="M219" s="16" t="str">
        <f aca="false">IFERROR(VLOOKUP(N219,Словарь!$A$2:$B$15,2,FALSE()),"Нужно решение")</f>
        <v>Выполнено, ждёт акта</v>
      </c>
      <c r="N219" s="10" t="s">
        <v>150</v>
      </c>
      <c r="O219" s="10" t="s">
        <v>491</v>
      </c>
      <c r="P219" s="22" t="str">
        <f aca="true">IF(AND(OR(M219="Не начато",M219="В работе",M219="Нужно решение"),C219&lt;TODAY()),TODAY()-C219,"")</f>
        <v/>
      </c>
      <c r="Q219" s="10" t="s">
        <v>238</v>
      </c>
      <c r="R219" s="10" t="s">
        <v>487</v>
      </c>
      <c r="S219" s="10"/>
      <c r="T219" s="10" t="s">
        <v>492</v>
      </c>
      <c r="U219" s="10" t="n">
        <v>237</v>
      </c>
    </row>
    <row r="220" customFormat="false" ht="23.85" hidden="false" customHeight="false" outlineLevel="0" collapsed="false">
      <c r="A220" s="10" t="n">
        <v>219</v>
      </c>
      <c r="B220" s="10" t="s">
        <v>88</v>
      </c>
      <c r="C220" s="21" t="n">
        <v>46295</v>
      </c>
      <c r="D220" s="10" t="s">
        <v>624</v>
      </c>
      <c r="E220" s="10" t="s">
        <v>112</v>
      </c>
      <c r="F220" s="10" t="s">
        <v>625</v>
      </c>
      <c r="G220" s="10" t="s">
        <v>174</v>
      </c>
      <c r="H220" s="10" t="s">
        <v>626</v>
      </c>
      <c r="I220" s="9" t="n">
        <v>60000</v>
      </c>
      <c r="J220" s="9"/>
      <c r="K220" s="10" t="s">
        <v>96</v>
      </c>
      <c r="L220" s="10" t="s">
        <v>104</v>
      </c>
      <c r="M220" s="16" t="str">
        <f aca="false">IFERROR(VLOOKUP(N220,Словарь!$A$2:$B$15,2,FALSE()),"Нужно решение")</f>
        <v>Выполнено, ждёт акта</v>
      </c>
      <c r="N220" s="10" t="s">
        <v>150</v>
      </c>
      <c r="O220" s="10" t="s">
        <v>171</v>
      </c>
      <c r="P220" s="22" t="str">
        <f aca="true">IF(AND(OR(M220="Не начато",M220="В работе",M220="Нужно решение"),C220&lt;TODAY()),TODAY()-C220,"")</f>
        <v/>
      </c>
      <c r="Q220" s="10" t="s">
        <v>238</v>
      </c>
      <c r="R220" s="10" t="s">
        <v>487</v>
      </c>
      <c r="S220" s="10"/>
      <c r="T220" s="10" t="s">
        <v>495</v>
      </c>
      <c r="U220" s="10" t="n">
        <v>240</v>
      </c>
    </row>
    <row r="221" customFormat="false" ht="23.85" hidden="false" customHeight="false" outlineLevel="0" collapsed="false">
      <c r="A221" s="10" t="n">
        <v>220</v>
      </c>
      <c r="B221" s="10" t="s">
        <v>88</v>
      </c>
      <c r="C221" s="21" t="n">
        <v>46295</v>
      </c>
      <c r="D221" s="10" t="s">
        <v>624</v>
      </c>
      <c r="E221" s="10" t="s">
        <v>112</v>
      </c>
      <c r="F221" s="10" t="s">
        <v>627</v>
      </c>
      <c r="G221" s="10" t="s">
        <v>158</v>
      </c>
      <c r="H221" s="10" t="s">
        <v>628</v>
      </c>
      <c r="I221" s="9"/>
      <c r="J221" s="9"/>
      <c r="K221" s="10" t="s">
        <v>95</v>
      </c>
      <c r="L221" s="10" t="s">
        <v>104</v>
      </c>
      <c r="M221" s="16" t="str">
        <f aca="false">IFERROR(VLOOKUP(N221,Словарь!$A$2:$B$15,2,FALSE()),"Нужно решение")</f>
        <v>Не начато</v>
      </c>
      <c r="N221" s="10" t="s">
        <v>10</v>
      </c>
      <c r="O221" s="10"/>
      <c r="P221" s="22" t="n">
        <f aca="true">IF(AND(OR(M221="Не начато",M221="В работе",M221="Нужно решение"),C221&lt;TODAY()),TODAY()-C221,"")</f>
        <v>27</v>
      </c>
      <c r="Q221" s="10" t="s">
        <v>238</v>
      </c>
      <c r="R221" s="10" t="s">
        <v>487</v>
      </c>
      <c r="S221" s="10"/>
      <c r="T221" s="10"/>
      <c r="U221" s="10" t="n">
        <v>241</v>
      </c>
    </row>
    <row r="222" customFormat="false" ht="23.85" hidden="false" customHeight="false" outlineLevel="0" collapsed="false">
      <c r="A222" s="10" t="n">
        <v>221</v>
      </c>
      <c r="B222" s="10" t="s">
        <v>88</v>
      </c>
      <c r="C222" s="21" t="n">
        <v>46295</v>
      </c>
      <c r="D222" s="10" t="s">
        <v>227</v>
      </c>
      <c r="E222" s="10" t="s">
        <v>112</v>
      </c>
      <c r="F222" s="10" t="s">
        <v>629</v>
      </c>
      <c r="G222" s="10" t="s">
        <v>245</v>
      </c>
      <c r="H222" s="10" t="s">
        <v>630</v>
      </c>
      <c r="I222" s="9"/>
      <c r="J222" s="9"/>
      <c r="K222" s="10" t="s">
        <v>95</v>
      </c>
      <c r="L222" s="10" t="s">
        <v>104</v>
      </c>
      <c r="M222" s="16" t="str">
        <f aca="false">IFERROR(VLOOKUP(N222,Словарь!$A$2:$B$15,2,FALSE()),"Нужно решение")</f>
        <v>Не начато</v>
      </c>
      <c r="N222" s="10" t="s">
        <v>10</v>
      </c>
      <c r="O222" s="10"/>
      <c r="P222" s="22" t="n">
        <f aca="true">IF(AND(OR(M222="Не начато",M222="В работе",M222="Нужно решение"),C222&lt;TODAY()),TODAY()-C222,"")</f>
        <v>27</v>
      </c>
      <c r="Q222" s="10" t="s">
        <v>238</v>
      </c>
      <c r="R222" s="10" t="s">
        <v>487</v>
      </c>
      <c r="S222" s="10"/>
      <c r="T222" s="10"/>
      <c r="U222" s="10" t="n">
        <v>242</v>
      </c>
    </row>
    <row r="223" customFormat="false" ht="23.85" hidden="false" customHeight="false" outlineLevel="0" collapsed="false">
      <c r="A223" s="10" t="n">
        <v>222</v>
      </c>
      <c r="B223" s="10" t="s">
        <v>88</v>
      </c>
      <c r="C223" s="21" t="n">
        <v>46295</v>
      </c>
      <c r="D223" s="10" t="s">
        <v>631</v>
      </c>
      <c r="E223" s="10" t="s">
        <v>112</v>
      </c>
      <c r="F223" s="10" t="s">
        <v>406</v>
      </c>
      <c r="G223" s="10" t="s">
        <v>136</v>
      </c>
      <c r="H223" s="10"/>
      <c r="I223" s="9" t="n">
        <v>125000</v>
      </c>
      <c r="J223" s="9"/>
      <c r="K223" s="10" t="s">
        <v>96</v>
      </c>
      <c r="L223" s="10" t="s">
        <v>104</v>
      </c>
      <c r="M223" s="16" t="str">
        <f aca="false">IFERROR(VLOOKUP(N223,Словарь!$A$2:$B$15,2,FALSE()),"Нужно решение")</f>
        <v>Выполнено, ждёт акта</v>
      </c>
      <c r="N223" s="10" t="s">
        <v>150</v>
      </c>
      <c r="O223" s="10" t="s">
        <v>491</v>
      </c>
      <c r="P223" s="22" t="str">
        <f aca="true">IF(AND(OR(M223="Не начато",M223="В работе",M223="Нужно решение"),C223&lt;TODAY()),TODAY()-C223,"")</f>
        <v/>
      </c>
      <c r="Q223" s="10" t="s">
        <v>238</v>
      </c>
      <c r="R223" s="10" t="s">
        <v>487</v>
      </c>
      <c r="S223" s="10"/>
      <c r="T223" s="10" t="s">
        <v>492</v>
      </c>
      <c r="U223" s="10" t="n">
        <v>238</v>
      </c>
    </row>
    <row r="224" customFormat="false" ht="23.85" hidden="false" customHeight="false" outlineLevel="0" collapsed="false">
      <c r="A224" s="10" t="n">
        <v>223</v>
      </c>
      <c r="B224" s="10" t="s">
        <v>88</v>
      </c>
      <c r="C224" s="21" t="n">
        <v>46295</v>
      </c>
      <c r="D224" s="10" t="s">
        <v>632</v>
      </c>
      <c r="E224" s="10" t="s">
        <v>112</v>
      </c>
      <c r="F224" s="10" t="s">
        <v>633</v>
      </c>
      <c r="G224" s="10" t="s">
        <v>148</v>
      </c>
      <c r="H224" s="10" t="s">
        <v>634</v>
      </c>
      <c r="I224" s="9" t="n">
        <v>214960</v>
      </c>
      <c r="J224" s="9"/>
      <c r="K224" s="10" t="s">
        <v>96</v>
      </c>
      <c r="L224" s="10" t="s">
        <v>103</v>
      </c>
      <c r="M224" s="16" t="str">
        <f aca="false">IFERROR(VLOOKUP(N224,Словарь!$A$2:$B$15,2,FALSE()),"Нужно решение")</f>
        <v>В работе</v>
      </c>
      <c r="N224" s="10" t="s">
        <v>13</v>
      </c>
      <c r="O224" s="10"/>
      <c r="P224" s="22" t="n">
        <f aca="true">IF(AND(OR(M224="Не начато",M224="В работе",M224="Нужно решение"),C224&lt;TODAY()),TODAY()-C224,"")</f>
        <v>27</v>
      </c>
      <c r="Q224" s="10" t="s">
        <v>238</v>
      </c>
      <c r="R224" s="10" t="s">
        <v>487</v>
      </c>
      <c r="S224" s="10"/>
      <c r="T224" s="10" t="s">
        <v>635</v>
      </c>
      <c r="U224" s="10" t="n">
        <v>243</v>
      </c>
    </row>
    <row r="225" customFormat="false" ht="23.85" hidden="false" customHeight="false" outlineLevel="0" collapsed="false">
      <c r="A225" s="10" t="n">
        <v>224</v>
      </c>
      <c r="B225" s="10" t="s">
        <v>88</v>
      </c>
      <c r="C225" s="21" t="n">
        <v>46295</v>
      </c>
      <c r="D225" s="10" t="s">
        <v>636</v>
      </c>
      <c r="E225" s="10" t="s">
        <v>112</v>
      </c>
      <c r="F225" s="10" t="s">
        <v>637</v>
      </c>
      <c r="G225" s="10" t="s">
        <v>142</v>
      </c>
      <c r="H225" s="10" t="s">
        <v>638</v>
      </c>
      <c r="I225" s="9"/>
      <c r="J225" s="9"/>
      <c r="K225" s="10" t="s">
        <v>96</v>
      </c>
      <c r="L225" s="10" t="s">
        <v>103</v>
      </c>
      <c r="M225" s="16" t="str">
        <f aca="false">IFERROR(VLOOKUP(N225,Словарь!$A$2:$B$15,2,FALSE()),"Нужно решение")</f>
        <v>Выполнено, ждёт акта</v>
      </c>
      <c r="N225" s="10" t="s">
        <v>150</v>
      </c>
      <c r="O225" s="10" t="s">
        <v>171</v>
      </c>
      <c r="P225" s="22" t="str">
        <f aca="true">IF(AND(OR(M225="Не начато",M225="В работе",M225="Нужно решение"),C225&lt;TODAY()),TODAY()-C225,"")</f>
        <v/>
      </c>
      <c r="Q225" s="10" t="s">
        <v>238</v>
      </c>
      <c r="R225" s="10" t="s">
        <v>487</v>
      </c>
      <c r="S225" s="10"/>
      <c r="T225" s="10" t="s">
        <v>495</v>
      </c>
      <c r="U225" s="10" t="n">
        <v>244</v>
      </c>
    </row>
    <row r="226" customFormat="false" ht="23.85" hidden="false" customHeight="false" outlineLevel="0" collapsed="false">
      <c r="A226" s="10" t="n">
        <v>225</v>
      </c>
      <c r="B226" s="10" t="s">
        <v>88</v>
      </c>
      <c r="C226" s="21" t="n">
        <v>46295</v>
      </c>
      <c r="D226" s="10" t="s">
        <v>285</v>
      </c>
      <c r="E226" s="10" t="s">
        <v>112</v>
      </c>
      <c r="F226" s="10" t="s">
        <v>639</v>
      </c>
      <c r="G226" s="10" t="s">
        <v>192</v>
      </c>
      <c r="H226" s="10" t="s">
        <v>640</v>
      </c>
      <c r="I226" s="9"/>
      <c r="J226" s="9"/>
      <c r="K226" s="10" t="s">
        <v>95</v>
      </c>
      <c r="L226" s="10" t="s">
        <v>103</v>
      </c>
      <c r="M226" s="16" t="str">
        <f aca="false">IFERROR(VLOOKUP(N226,Словарь!$A$2:$B$15,2,FALSE()),"Нужно решение")</f>
        <v>Не начато</v>
      </c>
      <c r="N226" s="10" t="s">
        <v>10</v>
      </c>
      <c r="O226" s="10"/>
      <c r="P226" s="22" t="n">
        <f aca="true">IF(AND(OR(M226="Не начато",M226="В работе",M226="Нужно решение"),C226&lt;TODAY()),TODAY()-C226,"")</f>
        <v>27</v>
      </c>
      <c r="Q226" s="10" t="s">
        <v>238</v>
      </c>
      <c r="R226" s="10" t="s">
        <v>487</v>
      </c>
      <c r="S226" s="10"/>
      <c r="T226" s="10"/>
      <c r="U226" s="10" t="n">
        <v>245</v>
      </c>
    </row>
    <row r="227" customFormat="false" ht="23.85" hidden="false" customHeight="false" outlineLevel="0" collapsed="false">
      <c r="A227" s="10" t="n">
        <v>226</v>
      </c>
      <c r="B227" s="10" t="s">
        <v>88</v>
      </c>
      <c r="C227" s="21" t="n">
        <v>46295</v>
      </c>
      <c r="D227" s="10" t="s">
        <v>641</v>
      </c>
      <c r="E227" s="10" t="s">
        <v>112</v>
      </c>
      <c r="F227" s="10" t="s">
        <v>406</v>
      </c>
      <c r="G227" s="10" t="s">
        <v>136</v>
      </c>
      <c r="H227" s="10"/>
      <c r="I227" s="9"/>
      <c r="J227" s="9"/>
      <c r="K227" s="10" t="s">
        <v>96</v>
      </c>
      <c r="L227" s="10" t="s">
        <v>104</v>
      </c>
      <c r="M227" s="16" t="str">
        <f aca="false">IFERROR(VLOOKUP(N227,Словарь!$A$2:$B$15,2,FALSE()),"Нужно решение")</f>
        <v>Выполнено, ждёт акта</v>
      </c>
      <c r="N227" s="10" t="s">
        <v>150</v>
      </c>
      <c r="O227" s="10" t="s">
        <v>491</v>
      </c>
      <c r="P227" s="22" t="str">
        <f aca="true">IF(AND(OR(M227="Не начато",M227="В работе",M227="Нужно решение"),C227&lt;TODAY()),TODAY()-C227,"")</f>
        <v/>
      </c>
      <c r="Q227" s="10" t="s">
        <v>238</v>
      </c>
      <c r="R227" s="10" t="s">
        <v>487</v>
      </c>
      <c r="S227" s="10"/>
      <c r="T227" s="10" t="s">
        <v>492</v>
      </c>
      <c r="U227" s="10" t="n">
        <v>246</v>
      </c>
    </row>
    <row r="228" customFormat="false" ht="23.85" hidden="false" customHeight="false" outlineLevel="0" collapsed="false">
      <c r="A228" s="10" t="n">
        <v>227</v>
      </c>
      <c r="B228" s="10" t="s">
        <v>88</v>
      </c>
      <c r="C228" s="21" t="n">
        <v>46295</v>
      </c>
      <c r="D228" s="10" t="s">
        <v>642</v>
      </c>
      <c r="E228" s="10" t="s">
        <v>112</v>
      </c>
      <c r="F228" s="10" t="s">
        <v>643</v>
      </c>
      <c r="G228" s="10" t="s">
        <v>188</v>
      </c>
      <c r="H228" s="10" t="s">
        <v>644</v>
      </c>
      <c r="I228" s="9"/>
      <c r="J228" s="9"/>
      <c r="K228" s="10" t="s">
        <v>95</v>
      </c>
      <c r="L228" s="10" t="s">
        <v>104</v>
      </c>
      <c r="M228" s="16" t="str">
        <f aca="false">IFERROR(VLOOKUP(N228,Словарь!$A$2:$B$15,2,FALSE()),"Нужно решение")</f>
        <v>Не начато</v>
      </c>
      <c r="N228" s="10" t="s">
        <v>10</v>
      </c>
      <c r="O228" s="10"/>
      <c r="P228" s="22" t="n">
        <f aca="true">IF(AND(OR(M228="Не начато",M228="В работе",M228="Нужно решение"),C228&lt;TODAY()),TODAY()-C228,"")</f>
        <v>27</v>
      </c>
      <c r="Q228" s="10" t="s">
        <v>238</v>
      </c>
      <c r="R228" s="10" t="s">
        <v>487</v>
      </c>
      <c r="S228" s="10"/>
      <c r="T228" s="10"/>
      <c r="U228" s="10" t="n">
        <v>247</v>
      </c>
    </row>
    <row r="229" customFormat="false" ht="23.85" hidden="false" customHeight="false" outlineLevel="0" collapsed="false">
      <c r="A229" s="10" t="n">
        <v>228</v>
      </c>
      <c r="B229" s="10" t="s">
        <v>88</v>
      </c>
      <c r="C229" s="21" t="n">
        <v>46295</v>
      </c>
      <c r="D229" s="10" t="s">
        <v>371</v>
      </c>
      <c r="E229" s="10" t="s">
        <v>112</v>
      </c>
      <c r="F229" s="10" t="s">
        <v>645</v>
      </c>
      <c r="G229" s="10" t="s">
        <v>162</v>
      </c>
      <c r="H229" s="10" t="s">
        <v>646</v>
      </c>
      <c r="I229" s="9"/>
      <c r="J229" s="9"/>
      <c r="K229" s="10" t="s">
        <v>95</v>
      </c>
      <c r="L229" s="10" t="s">
        <v>100</v>
      </c>
      <c r="M229" s="16" t="str">
        <f aca="false">IFERROR(VLOOKUP(N229,Словарь!$A$2:$B$15,2,FALSE()),"Нужно решение")</f>
        <v>Выполнено, ждёт акта</v>
      </c>
      <c r="N229" s="10" t="s">
        <v>150</v>
      </c>
      <c r="O229" s="10"/>
      <c r="P229" s="22" t="str">
        <f aca="true">IF(AND(OR(M229="Не начато",M229="В работе",M229="Нужно решение"),C229&lt;TODAY()),TODAY()-C229,"")</f>
        <v/>
      </c>
      <c r="Q229" s="10" t="s">
        <v>238</v>
      </c>
      <c r="R229" s="10" t="s">
        <v>487</v>
      </c>
      <c r="S229" s="10"/>
      <c r="T229" s="10" t="s">
        <v>319</v>
      </c>
      <c r="U229" s="10" t="n">
        <v>248</v>
      </c>
    </row>
    <row r="230" customFormat="false" ht="23.85" hidden="false" customHeight="false" outlineLevel="0" collapsed="false">
      <c r="A230" s="10" t="n">
        <v>229</v>
      </c>
      <c r="B230" s="10" t="s">
        <v>88</v>
      </c>
      <c r="C230" s="21" t="n">
        <v>46295</v>
      </c>
      <c r="D230" s="10" t="s">
        <v>647</v>
      </c>
      <c r="E230" s="10" t="s">
        <v>112</v>
      </c>
      <c r="F230" s="10" t="s">
        <v>648</v>
      </c>
      <c r="G230" s="10" t="s">
        <v>162</v>
      </c>
      <c r="H230" s="10" t="s">
        <v>649</v>
      </c>
      <c r="I230" s="9" t="n">
        <v>35000</v>
      </c>
      <c r="J230" s="9"/>
      <c r="K230" s="10" t="s">
        <v>95</v>
      </c>
      <c r="L230" s="10" t="s">
        <v>100</v>
      </c>
      <c r="M230" s="16" t="str">
        <f aca="false">IFERROR(VLOOKUP(N230,Словарь!$A$2:$B$15,2,FALSE()),"Нужно решение")</f>
        <v>Выполнено, ждёт акта</v>
      </c>
      <c r="N230" s="10" t="s">
        <v>150</v>
      </c>
      <c r="O230" s="10"/>
      <c r="P230" s="22" t="str">
        <f aca="true">IF(AND(OR(M230="Не начато",M230="В работе",M230="Нужно решение"),C230&lt;TODAY()),TODAY()-C230,"")</f>
        <v/>
      </c>
      <c r="Q230" s="10" t="s">
        <v>238</v>
      </c>
      <c r="R230" s="10" t="s">
        <v>487</v>
      </c>
      <c r="S230" s="10"/>
      <c r="T230" s="10" t="s">
        <v>319</v>
      </c>
      <c r="U230" s="10" t="n">
        <v>249</v>
      </c>
    </row>
    <row r="231" customFormat="false" ht="23.85" hidden="false" customHeight="false" outlineLevel="0" collapsed="false">
      <c r="A231" s="10" t="n">
        <v>230</v>
      </c>
      <c r="B231" s="10" t="s">
        <v>88</v>
      </c>
      <c r="C231" s="21" t="n">
        <v>46295</v>
      </c>
      <c r="D231" s="10" t="s">
        <v>650</v>
      </c>
      <c r="E231" s="10" t="s">
        <v>112</v>
      </c>
      <c r="F231" s="10" t="s">
        <v>651</v>
      </c>
      <c r="G231" s="10" t="s">
        <v>142</v>
      </c>
      <c r="H231" s="10" t="s">
        <v>652</v>
      </c>
      <c r="I231" s="9"/>
      <c r="J231" s="9"/>
      <c r="K231" s="10" t="s">
        <v>97</v>
      </c>
      <c r="L231" s="10" t="s">
        <v>103</v>
      </c>
      <c r="M231" s="16" t="str">
        <f aca="false">IFERROR(VLOOKUP(N231,Словарь!$A$2:$B$15,2,FALSE()),"Нужно решение")</f>
        <v>Снято с плана</v>
      </c>
      <c r="N231" s="10" t="s">
        <v>164</v>
      </c>
      <c r="O231" s="10"/>
      <c r="P231" s="22" t="str">
        <f aca="true">IF(AND(OR(M231="Не начато",M231="В работе",M231="Нужно решение"),C231&lt;TODAY()),TODAY()-C231,"")</f>
        <v/>
      </c>
      <c r="Q231" s="10" t="s">
        <v>238</v>
      </c>
      <c r="R231" s="10" t="s">
        <v>487</v>
      </c>
      <c r="S231" s="10"/>
      <c r="T231" s="10" t="s">
        <v>590</v>
      </c>
      <c r="U231" s="10" t="n">
        <v>254</v>
      </c>
    </row>
    <row r="232" customFormat="false" ht="23.85" hidden="false" customHeight="false" outlineLevel="0" collapsed="false">
      <c r="A232" s="10" t="n">
        <v>231</v>
      </c>
      <c r="B232" s="10" t="s">
        <v>88</v>
      </c>
      <c r="C232" s="21" t="n">
        <v>46295</v>
      </c>
      <c r="D232" s="10" t="s">
        <v>650</v>
      </c>
      <c r="E232" s="10" t="s">
        <v>112</v>
      </c>
      <c r="F232" s="10" t="s">
        <v>406</v>
      </c>
      <c r="G232" s="10" t="s">
        <v>136</v>
      </c>
      <c r="H232" s="10"/>
      <c r="I232" s="9" t="n">
        <v>125000</v>
      </c>
      <c r="J232" s="9"/>
      <c r="K232" s="10" t="s">
        <v>96</v>
      </c>
      <c r="L232" s="10" t="s">
        <v>103</v>
      </c>
      <c r="M232" s="16" t="str">
        <f aca="false">IFERROR(VLOOKUP(N232,Словарь!$A$2:$B$15,2,FALSE()),"Нужно решение")</f>
        <v>Выполнено, ждёт акта</v>
      </c>
      <c r="N232" s="10" t="s">
        <v>150</v>
      </c>
      <c r="O232" s="10" t="s">
        <v>151</v>
      </c>
      <c r="P232" s="22" t="str">
        <f aca="true">IF(AND(OR(M232="Не начато",M232="В работе",M232="Нужно решение"),C232&lt;TODAY()),TODAY()-C232,"")</f>
        <v/>
      </c>
      <c r="Q232" s="10" t="s">
        <v>238</v>
      </c>
      <c r="R232" s="10" t="s">
        <v>487</v>
      </c>
      <c r="S232" s="10"/>
      <c r="T232" s="10" t="s">
        <v>239</v>
      </c>
      <c r="U232" s="10" t="n">
        <v>255</v>
      </c>
    </row>
    <row r="233" customFormat="false" ht="23.85" hidden="false" customHeight="false" outlineLevel="0" collapsed="false">
      <c r="A233" s="10" t="n">
        <v>232</v>
      </c>
      <c r="B233" s="10" t="s">
        <v>88</v>
      </c>
      <c r="C233" s="21" t="n">
        <v>46295</v>
      </c>
      <c r="D233" s="10" t="s">
        <v>196</v>
      </c>
      <c r="E233" s="10" t="s">
        <v>113</v>
      </c>
      <c r="F233" s="10" t="s">
        <v>653</v>
      </c>
      <c r="G233" s="10" t="s">
        <v>174</v>
      </c>
      <c r="H233" s="10" t="s">
        <v>654</v>
      </c>
      <c r="I233" s="9" t="n">
        <v>45000</v>
      </c>
      <c r="J233" s="9"/>
      <c r="K233" s="10" t="s">
        <v>96</v>
      </c>
      <c r="L233" s="10" t="s">
        <v>101</v>
      </c>
      <c r="M233" s="16" t="str">
        <f aca="false">IFERROR(VLOOKUP(N233,Словарь!$A$2:$B$15,2,FALSE()),"Нужно решение")</f>
        <v>Отложено на зиму</v>
      </c>
      <c r="N233" s="10" t="s">
        <v>22</v>
      </c>
      <c r="O233" s="10"/>
      <c r="P233" s="22" t="str">
        <f aca="true">IF(AND(OR(M233="Не начато",M233="В работе",M233="Нужно решение"),C233&lt;TODAY()),TODAY()-C233,"")</f>
        <v/>
      </c>
      <c r="Q233" s="10" t="s">
        <v>238</v>
      </c>
      <c r="R233" s="10" t="s">
        <v>487</v>
      </c>
      <c r="S233" s="10"/>
      <c r="T233" s="10" t="s">
        <v>522</v>
      </c>
      <c r="U233" s="10" t="n">
        <v>250</v>
      </c>
    </row>
    <row r="234" customFormat="false" ht="23.85" hidden="false" customHeight="false" outlineLevel="0" collapsed="false">
      <c r="A234" s="10" t="n">
        <v>233</v>
      </c>
      <c r="B234" s="10" t="s">
        <v>88</v>
      </c>
      <c r="C234" s="21" t="n">
        <v>46295</v>
      </c>
      <c r="D234" s="10" t="s">
        <v>655</v>
      </c>
      <c r="E234" s="10" t="s">
        <v>113</v>
      </c>
      <c r="F234" s="10" t="s">
        <v>656</v>
      </c>
      <c r="G234" s="10" t="s">
        <v>188</v>
      </c>
      <c r="H234" s="10" t="s">
        <v>657</v>
      </c>
      <c r="I234" s="9" t="n">
        <v>250000</v>
      </c>
      <c r="J234" s="9"/>
      <c r="K234" s="10" t="s">
        <v>97</v>
      </c>
      <c r="L234" s="10" t="s">
        <v>101</v>
      </c>
      <c r="M234" s="16" t="str">
        <f aca="false">IFERROR(VLOOKUP(N234,Словарь!$A$2:$B$15,2,FALSE()),"Нужно решение")</f>
        <v>Принято с актом</v>
      </c>
      <c r="N234" s="10" t="s">
        <v>138</v>
      </c>
      <c r="O234" s="10" t="s">
        <v>139</v>
      </c>
      <c r="P234" s="22" t="str">
        <f aca="true">IF(AND(OR(M234="Не начато",M234="В работе",M234="Нужно решение"),C234&lt;TODAY()),TODAY()-C234,"")</f>
        <v/>
      </c>
      <c r="Q234" s="10" t="s">
        <v>238</v>
      </c>
      <c r="R234" s="10" t="s">
        <v>487</v>
      </c>
      <c r="S234" s="10"/>
      <c r="T234" s="10" t="s">
        <v>140</v>
      </c>
      <c r="U234" s="10" t="n">
        <v>251</v>
      </c>
    </row>
    <row r="235" customFormat="false" ht="23.85" hidden="false" customHeight="false" outlineLevel="0" collapsed="false">
      <c r="A235" s="10" t="n">
        <v>234</v>
      </c>
      <c r="B235" s="10" t="s">
        <v>88</v>
      </c>
      <c r="C235" s="21" t="n">
        <v>46295</v>
      </c>
      <c r="D235" s="10" t="s">
        <v>658</v>
      </c>
      <c r="E235" s="10" t="s">
        <v>113</v>
      </c>
      <c r="F235" s="10" t="s">
        <v>659</v>
      </c>
      <c r="G235" s="10" t="s">
        <v>188</v>
      </c>
      <c r="H235" s="10" t="s">
        <v>660</v>
      </c>
      <c r="I235" s="9"/>
      <c r="J235" s="9"/>
      <c r="K235" s="10" t="s">
        <v>95</v>
      </c>
      <c r="L235" s="10" t="s">
        <v>100</v>
      </c>
      <c r="M235" s="16" t="str">
        <f aca="false">IFERROR(VLOOKUP(N235,Словарь!$A$2:$B$15,2,FALSE()),"Нужно решение")</f>
        <v>Не начато</v>
      </c>
      <c r="N235" s="10" t="s">
        <v>10</v>
      </c>
      <c r="O235" s="10"/>
      <c r="P235" s="22" t="n">
        <f aca="true">IF(AND(OR(M235="Не начато",M235="В работе",M235="Нужно решение"),C235&lt;TODAY()),TODAY()-C235,"")</f>
        <v>27</v>
      </c>
      <c r="Q235" s="10" t="s">
        <v>238</v>
      </c>
      <c r="R235" s="10" t="s">
        <v>487</v>
      </c>
      <c r="S235" s="10"/>
      <c r="T235" s="10"/>
      <c r="U235" s="10" t="n">
        <v>252</v>
      </c>
    </row>
    <row r="236" customFormat="false" ht="23.85" hidden="false" customHeight="false" outlineLevel="0" collapsed="false">
      <c r="A236" s="10" t="n">
        <v>235</v>
      </c>
      <c r="B236" s="10" t="s">
        <v>88</v>
      </c>
      <c r="C236" s="21" t="n">
        <v>46295</v>
      </c>
      <c r="D236" s="10" t="s">
        <v>658</v>
      </c>
      <c r="E236" s="10" t="s">
        <v>113</v>
      </c>
      <c r="F236" s="10" t="s">
        <v>661</v>
      </c>
      <c r="G236" s="10" t="s">
        <v>174</v>
      </c>
      <c r="H236" s="10" t="s">
        <v>662</v>
      </c>
      <c r="I236" s="9" t="n">
        <v>120000</v>
      </c>
      <c r="J236" s="9"/>
      <c r="K236" s="10" t="s">
        <v>96</v>
      </c>
      <c r="L236" s="10" t="s">
        <v>101</v>
      </c>
      <c r="M236" s="16" t="str">
        <f aca="false">IFERROR(VLOOKUP(N236,Словарь!$A$2:$B$15,2,FALSE()),"Нужно решение")</f>
        <v>Отложено на зиму</v>
      </c>
      <c r="N236" s="10" t="s">
        <v>22</v>
      </c>
      <c r="O236" s="10"/>
      <c r="P236" s="22" t="str">
        <f aca="true">IF(AND(OR(M236="Не начато",M236="В работе",M236="Нужно решение"),C236&lt;TODAY()),TODAY()-C236,"")</f>
        <v/>
      </c>
      <c r="Q236" s="10" t="s">
        <v>238</v>
      </c>
      <c r="R236" s="10" t="s">
        <v>487</v>
      </c>
      <c r="S236" s="10"/>
      <c r="T236" s="10" t="s">
        <v>522</v>
      </c>
      <c r="U236" s="10" t="n">
        <v>253</v>
      </c>
    </row>
    <row r="237" customFormat="false" ht="23.85" hidden="false" customHeight="false" outlineLevel="0" collapsed="false">
      <c r="A237" s="10" t="n">
        <v>236</v>
      </c>
      <c r="B237" s="10" t="s">
        <v>88</v>
      </c>
      <c r="C237" s="21" t="n">
        <v>46295</v>
      </c>
      <c r="D237" s="10" t="s">
        <v>663</v>
      </c>
      <c r="E237" s="10" t="s">
        <v>112</v>
      </c>
      <c r="F237" s="10" t="s">
        <v>664</v>
      </c>
      <c r="G237" s="10" t="s">
        <v>188</v>
      </c>
      <c r="H237" s="10" t="s">
        <v>665</v>
      </c>
      <c r="I237" s="9"/>
      <c r="J237" s="9"/>
      <c r="K237" s="10" t="s">
        <v>96</v>
      </c>
      <c r="L237" s="10" t="s">
        <v>104</v>
      </c>
      <c r="M237" s="16" t="str">
        <f aca="false">IFERROR(VLOOKUP(N237,Словарь!$A$2:$B$15,2,FALSE()),"Нужно решение")</f>
        <v>Выполнено, ждёт акта</v>
      </c>
      <c r="N237" s="10" t="s">
        <v>150</v>
      </c>
      <c r="O237" s="10" t="s">
        <v>151</v>
      </c>
      <c r="P237" s="22" t="str">
        <f aca="true">IF(AND(OR(M237="Не начато",M237="В работе",M237="Нужно решение"),C237&lt;TODAY()),TODAY()-C237,"")</f>
        <v/>
      </c>
      <c r="Q237" s="10" t="s">
        <v>238</v>
      </c>
      <c r="R237" s="10" t="s">
        <v>487</v>
      </c>
      <c r="S237" s="10"/>
      <c r="T237" s="10" t="s">
        <v>495</v>
      </c>
      <c r="U237" s="10" t="n">
        <v>268</v>
      </c>
    </row>
    <row r="238" customFormat="false" ht="23.85" hidden="false" customHeight="false" outlineLevel="0" collapsed="false">
      <c r="A238" s="10" t="n">
        <v>237</v>
      </c>
      <c r="B238" s="10" t="s">
        <v>88</v>
      </c>
      <c r="C238" s="21" t="n">
        <v>46295</v>
      </c>
      <c r="D238" s="10" t="s">
        <v>663</v>
      </c>
      <c r="E238" s="10" t="s">
        <v>112</v>
      </c>
      <c r="F238" s="10" t="s">
        <v>666</v>
      </c>
      <c r="G238" s="10" t="s">
        <v>245</v>
      </c>
      <c r="H238" s="10"/>
      <c r="I238" s="9"/>
      <c r="J238" s="9"/>
      <c r="K238" s="10" t="s">
        <v>95</v>
      </c>
      <c r="L238" s="10" t="s">
        <v>104</v>
      </c>
      <c r="M238" s="16" t="str">
        <f aca="false">IFERROR(VLOOKUP(N238,Словарь!$A$2:$B$15,2,FALSE()),"Нужно решение")</f>
        <v>Не начато</v>
      </c>
      <c r="N238" s="10" t="s">
        <v>10</v>
      </c>
      <c r="O238" s="10"/>
      <c r="P238" s="22" t="n">
        <f aca="true">IF(AND(OR(M238="Не начато",M238="В работе",M238="Нужно решение"),C238&lt;TODAY()),TODAY()-C238,"")</f>
        <v>27</v>
      </c>
      <c r="Q238" s="10" t="s">
        <v>238</v>
      </c>
      <c r="R238" s="10" t="s">
        <v>487</v>
      </c>
      <c r="S238" s="10"/>
      <c r="T238" s="10"/>
      <c r="U238" s="10" t="n">
        <v>269</v>
      </c>
    </row>
    <row r="239" customFormat="false" ht="23.85" hidden="false" customHeight="false" outlineLevel="0" collapsed="false">
      <c r="A239" s="10" t="n">
        <v>238</v>
      </c>
      <c r="B239" s="10" t="s">
        <v>88</v>
      </c>
      <c r="C239" s="21" t="n">
        <v>46295</v>
      </c>
      <c r="D239" s="10" t="s">
        <v>667</v>
      </c>
      <c r="E239" s="10" t="s">
        <v>112</v>
      </c>
      <c r="F239" s="10" t="s">
        <v>668</v>
      </c>
      <c r="G239" s="10" t="s">
        <v>142</v>
      </c>
      <c r="H239" s="10" t="s">
        <v>669</v>
      </c>
      <c r="I239" s="9"/>
      <c r="J239" s="9"/>
      <c r="K239" s="10" t="s">
        <v>96</v>
      </c>
      <c r="L239" s="10" t="s">
        <v>104</v>
      </c>
      <c r="M239" s="16" t="str">
        <f aca="false">IFERROR(VLOOKUP(N239,Словарь!$A$2:$B$15,2,FALSE()),"Нужно решение")</f>
        <v>Выполнено, ждёт акта</v>
      </c>
      <c r="N239" s="10" t="s">
        <v>150</v>
      </c>
      <c r="O239" s="10" t="s">
        <v>151</v>
      </c>
      <c r="P239" s="22" t="str">
        <f aca="true">IF(AND(OR(M239="Не начато",M239="В работе",M239="Нужно решение"),C239&lt;TODAY()),TODAY()-C239,"")</f>
        <v/>
      </c>
      <c r="Q239" s="10" t="s">
        <v>238</v>
      </c>
      <c r="R239" s="10" t="s">
        <v>487</v>
      </c>
      <c r="S239" s="10"/>
      <c r="T239" s="10" t="s">
        <v>495</v>
      </c>
      <c r="U239" s="10" t="n">
        <v>270</v>
      </c>
    </row>
    <row r="240" customFormat="false" ht="23.85" hidden="false" customHeight="false" outlineLevel="0" collapsed="false">
      <c r="A240" s="10" t="n">
        <v>239</v>
      </c>
      <c r="B240" s="10" t="s">
        <v>88</v>
      </c>
      <c r="C240" s="21" t="n">
        <v>46295</v>
      </c>
      <c r="D240" s="10" t="s">
        <v>667</v>
      </c>
      <c r="E240" s="10" t="s">
        <v>112</v>
      </c>
      <c r="F240" s="10" t="s">
        <v>670</v>
      </c>
      <c r="G240" s="10" t="s">
        <v>148</v>
      </c>
      <c r="H240" s="10"/>
      <c r="I240" s="9"/>
      <c r="J240" s="9"/>
      <c r="K240" s="10" t="s">
        <v>96</v>
      </c>
      <c r="L240" s="10" t="s">
        <v>104</v>
      </c>
      <c r="M240" s="16" t="str">
        <f aca="false">IFERROR(VLOOKUP(N240,Словарь!$A$2:$B$15,2,FALSE()),"Нужно решение")</f>
        <v>Выполнено, ждёт акта</v>
      </c>
      <c r="N240" s="10" t="s">
        <v>150</v>
      </c>
      <c r="O240" s="10" t="s">
        <v>151</v>
      </c>
      <c r="P240" s="22" t="str">
        <f aca="true">IF(AND(OR(M240="Не начато",M240="В работе",M240="Нужно решение"),C240&lt;TODAY()),TODAY()-C240,"")</f>
        <v/>
      </c>
      <c r="Q240" s="10" t="s">
        <v>238</v>
      </c>
      <c r="R240" s="10" t="s">
        <v>487</v>
      </c>
      <c r="S240" s="10"/>
      <c r="T240" s="10" t="s">
        <v>495</v>
      </c>
      <c r="U240" s="10" t="n">
        <v>271</v>
      </c>
    </row>
    <row r="241" customFormat="false" ht="23.85" hidden="false" customHeight="false" outlineLevel="0" collapsed="false">
      <c r="A241" s="10" t="n">
        <v>240</v>
      </c>
      <c r="B241" s="10" t="s">
        <v>88</v>
      </c>
      <c r="C241" s="21" t="n">
        <v>46295</v>
      </c>
      <c r="D241" s="10" t="s">
        <v>667</v>
      </c>
      <c r="E241" s="10" t="s">
        <v>112</v>
      </c>
      <c r="F241" s="10" t="s">
        <v>671</v>
      </c>
      <c r="G241" s="10" t="s">
        <v>188</v>
      </c>
      <c r="H241" s="10" t="s">
        <v>672</v>
      </c>
      <c r="I241" s="9"/>
      <c r="J241" s="9"/>
      <c r="K241" s="10" t="s">
        <v>95</v>
      </c>
      <c r="L241" s="10" t="s">
        <v>104</v>
      </c>
      <c r="M241" s="16" t="str">
        <f aca="false">IFERROR(VLOOKUP(N241,Словарь!$A$2:$B$15,2,FALSE()),"Нужно решение")</f>
        <v>Не начато</v>
      </c>
      <c r="N241" s="10" t="s">
        <v>10</v>
      </c>
      <c r="O241" s="10"/>
      <c r="P241" s="22" t="n">
        <f aca="true">IF(AND(OR(M241="Не начато",M241="В работе",M241="Нужно решение"),C241&lt;TODAY()),TODAY()-C241,"")</f>
        <v>27</v>
      </c>
      <c r="Q241" s="10" t="s">
        <v>238</v>
      </c>
      <c r="R241" s="10" t="s">
        <v>487</v>
      </c>
      <c r="S241" s="10"/>
      <c r="T241" s="10"/>
      <c r="U241" s="10" t="n">
        <v>272</v>
      </c>
    </row>
    <row r="242" customFormat="false" ht="23.85" hidden="false" customHeight="false" outlineLevel="0" collapsed="false">
      <c r="A242" s="10" t="n">
        <v>241</v>
      </c>
      <c r="B242" s="10" t="s">
        <v>88</v>
      </c>
      <c r="C242" s="21" t="n">
        <v>46295</v>
      </c>
      <c r="D242" s="10" t="s">
        <v>673</v>
      </c>
      <c r="E242" s="10" t="s">
        <v>113</v>
      </c>
      <c r="F242" s="10" t="s">
        <v>406</v>
      </c>
      <c r="G242" s="10" t="s">
        <v>136</v>
      </c>
      <c r="H242" s="10"/>
      <c r="I242" s="9" t="n">
        <v>125000</v>
      </c>
      <c r="J242" s="9"/>
      <c r="K242" s="10" t="s">
        <v>96</v>
      </c>
      <c r="L242" s="10" t="s">
        <v>104</v>
      </c>
      <c r="M242" s="16" t="str">
        <f aca="false">IFERROR(VLOOKUP(N242,Словарь!$A$2:$B$15,2,FALSE()),"Нужно решение")</f>
        <v>Выполнено, ждёт акта</v>
      </c>
      <c r="N242" s="10" t="s">
        <v>150</v>
      </c>
      <c r="O242" s="10" t="s">
        <v>491</v>
      </c>
      <c r="P242" s="22" t="str">
        <f aca="true">IF(AND(OR(M242="Не начато",M242="В работе",M242="Нужно решение"),C242&lt;TODAY()),TODAY()-C242,"")</f>
        <v/>
      </c>
      <c r="Q242" s="10" t="s">
        <v>238</v>
      </c>
      <c r="R242" s="10" t="s">
        <v>487</v>
      </c>
      <c r="S242" s="10"/>
      <c r="T242" s="10" t="s">
        <v>492</v>
      </c>
      <c r="U242" s="10" t="n">
        <v>273</v>
      </c>
    </row>
    <row r="243" customFormat="false" ht="23.85" hidden="false" customHeight="false" outlineLevel="0" collapsed="false">
      <c r="A243" s="10" t="n">
        <v>242</v>
      </c>
      <c r="B243" s="10" t="s">
        <v>88</v>
      </c>
      <c r="C243" s="21" t="n">
        <v>46295</v>
      </c>
      <c r="D243" s="10" t="s">
        <v>674</v>
      </c>
      <c r="E243" s="10" t="s">
        <v>113</v>
      </c>
      <c r="F243" s="10" t="s">
        <v>406</v>
      </c>
      <c r="G243" s="10" t="s">
        <v>136</v>
      </c>
      <c r="H243" s="10"/>
      <c r="I243" s="9" t="n">
        <v>125000</v>
      </c>
      <c r="J243" s="9"/>
      <c r="K243" s="10" t="s">
        <v>96</v>
      </c>
      <c r="L243" s="10" t="s">
        <v>104</v>
      </c>
      <c r="M243" s="16" t="str">
        <f aca="false">IFERROR(VLOOKUP(N243,Словарь!$A$2:$B$15,2,FALSE()),"Нужно решение")</f>
        <v>Выполнено, ждёт акта</v>
      </c>
      <c r="N243" s="10" t="s">
        <v>150</v>
      </c>
      <c r="O243" s="10" t="s">
        <v>491</v>
      </c>
      <c r="P243" s="22" t="str">
        <f aca="true">IF(AND(OR(M243="Не начато",M243="В работе",M243="Нужно решение"),C243&lt;TODAY()),TODAY()-C243,"")</f>
        <v/>
      </c>
      <c r="Q243" s="10" t="s">
        <v>238</v>
      </c>
      <c r="R243" s="10" t="s">
        <v>487</v>
      </c>
      <c r="S243" s="10"/>
      <c r="T243" s="10" t="s">
        <v>492</v>
      </c>
      <c r="U243" s="10" t="n">
        <v>274</v>
      </c>
    </row>
    <row r="244" customFormat="false" ht="23.85" hidden="false" customHeight="false" outlineLevel="0" collapsed="false">
      <c r="A244" s="10" t="n">
        <v>243</v>
      </c>
      <c r="B244" s="10" t="s">
        <v>88</v>
      </c>
      <c r="C244" s="21" t="n">
        <v>46295</v>
      </c>
      <c r="D244" s="10" t="s">
        <v>675</v>
      </c>
      <c r="E244" s="10" t="s">
        <v>113</v>
      </c>
      <c r="F244" s="10" t="s">
        <v>676</v>
      </c>
      <c r="G244" s="10" t="s">
        <v>174</v>
      </c>
      <c r="H244" s="10" t="s">
        <v>343</v>
      </c>
      <c r="I244" s="9"/>
      <c r="J244" s="9"/>
      <c r="K244" s="10" t="s">
        <v>95</v>
      </c>
      <c r="L244" s="10" t="s">
        <v>104</v>
      </c>
      <c r="M244" s="16" t="str">
        <f aca="false">IFERROR(VLOOKUP(N244,Словарь!$A$2:$B$15,2,FALSE()),"Нужно решение")</f>
        <v>Нужно решение</v>
      </c>
      <c r="N244" s="10" t="s">
        <v>541</v>
      </c>
      <c r="O244" s="10"/>
      <c r="P244" s="22" t="n">
        <f aca="true">IF(AND(OR(M244="Не начато",M244="В работе",M244="Нужно решение"),C244&lt;TODAY()),TODAY()-C244,"")</f>
        <v>27</v>
      </c>
      <c r="Q244" s="10" t="s">
        <v>238</v>
      </c>
      <c r="R244" s="10" t="s">
        <v>487</v>
      </c>
      <c r="S244" s="10"/>
      <c r="T244" s="10" t="s">
        <v>677</v>
      </c>
      <c r="U244" s="10" t="n">
        <v>275</v>
      </c>
    </row>
    <row r="245" customFormat="false" ht="23.85" hidden="false" customHeight="false" outlineLevel="0" collapsed="false">
      <c r="A245" s="10" t="n">
        <v>244</v>
      </c>
      <c r="B245" s="10" t="s">
        <v>88</v>
      </c>
      <c r="C245" s="21" t="n">
        <v>46295</v>
      </c>
      <c r="D245" s="10" t="s">
        <v>675</v>
      </c>
      <c r="E245" s="10" t="s">
        <v>113</v>
      </c>
      <c r="F245" s="10" t="s">
        <v>406</v>
      </c>
      <c r="G245" s="10" t="s">
        <v>136</v>
      </c>
      <c r="H245" s="10"/>
      <c r="I245" s="9" t="n">
        <v>125000</v>
      </c>
      <c r="J245" s="9"/>
      <c r="K245" s="10" t="s">
        <v>96</v>
      </c>
      <c r="L245" s="10" t="s">
        <v>104</v>
      </c>
      <c r="M245" s="16" t="str">
        <f aca="false">IFERROR(VLOOKUP(N245,Словарь!$A$2:$B$15,2,FALSE()),"Нужно решение")</f>
        <v>Выполнено, ждёт акта</v>
      </c>
      <c r="N245" s="10" t="s">
        <v>150</v>
      </c>
      <c r="O245" s="10" t="s">
        <v>151</v>
      </c>
      <c r="P245" s="22" t="str">
        <f aca="true">IF(AND(OR(M245="Не начато",M245="В работе",M245="Нужно решение"),C245&lt;TODAY()),TODAY()-C245,"")</f>
        <v/>
      </c>
      <c r="Q245" s="10" t="s">
        <v>238</v>
      </c>
      <c r="R245" s="10" t="s">
        <v>487</v>
      </c>
      <c r="S245" s="10"/>
      <c r="T245" s="10" t="s">
        <v>239</v>
      </c>
      <c r="U245" s="10" t="n">
        <v>276</v>
      </c>
    </row>
    <row r="246" customFormat="false" ht="23.85" hidden="false" customHeight="false" outlineLevel="0" collapsed="false">
      <c r="A246" s="10" t="n">
        <v>245</v>
      </c>
      <c r="B246" s="10" t="s">
        <v>88</v>
      </c>
      <c r="C246" s="21" t="n">
        <v>46295</v>
      </c>
      <c r="D246" s="10" t="s">
        <v>678</v>
      </c>
      <c r="E246" s="10" t="s">
        <v>112</v>
      </c>
      <c r="F246" s="10" t="s">
        <v>406</v>
      </c>
      <c r="G246" s="10" t="s">
        <v>136</v>
      </c>
      <c r="H246" s="10"/>
      <c r="I246" s="9" t="n">
        <v>125000</v>
      </c>
      <c r="J246" s="9"/>
      <c r="K246" s="10" t="s">
        <v>96</v>
      </c>
      <c r="L246" s="10" t="s">
        <v>104</v>
      </c>
      <c r="M246" s="16" t="str">
        <f aca="false">IFERROR(VLOOKUP(N246,Словарь!$A$2:$B$15,2,FALSE()),"Нужно решение")</f>
        <v>Выполнено, ждёт акта</v>
      </c>
      <c r="N246" s="10" t="s">
        <v>150</v>
      </c>
      <c r="O246" s="10" t="s">
        <v>491</v>
      </c>
      <c r="P246" s="22" t="str">
        <f aca="true">IF(AND(OR(M246="Не начато",M246="В работе",M246="Нужно решение"),C246&lt;TODAY()),TODAY()-C246,"")</f>
        <v/>
      </c>
      <c r="Q246" s="10" t="s">
        <v>238</v>
      </c>
      <c r="R246" s="10" t="s">
        <v>487</v>
      </c>
      <c r="S246" s="10"/>
      <c r="T246" s="10" t="s">
        <v>492</v>
      </c>
      <c r="U246" s="10" t="n">
        <v>277</v>
      </c>
    </row>
    <row r="247" customFormat="false" ht="23.85" hidden="false" customHeight="false" outlineLevel="0" collapsed="false">
      <c r="A247" s="10" t="n">
        <v>246</v>
      </c>
      <c r="B247" s="10" t="s">
        <v>88</v>
      </c>
      <c r="C247" s="21" t="n">
        <v>46295</v>
      </c>
      <c r="D247" s="10" t="s">
        <v>678</v>
      </c>
      <c r="E247" s="10" t="s">
        <v>112</v>
      </c>
      <c r="F247" s="10" t="s">
        <v>679</v>
      </c>
      <c r="G247" s="10" t="s">
        <v>188</v>
      </c>
      <c r="H247" s="10"/>
      <c r="I247" s="9"/>
      <c r="J247" s="9"/>
      <c r="K247" s="10" t="s">
        <v>96</v>
      </c>
      <c r="L247" s="10" t="s">
        <v>104</v>
      </c>
      <c r="M247" s="16" t="str">
        <f aca="false">IFERROR(VLOOKUP(N247,Словарь!$A$2:$B$15,2,FALSE()),"Нужно решение")</f>
        <v>Выполнено, ждёт акта</v>
      </c>
      <c r="N247" s="10" t="s">
        <v>150</v>
      </c>
      <c r="O247" s="10" t="s">
        <v>151</v>
      </c>
      <c r="P247" s="22" t="str">
        <f aca="true">IF(AND(OR(M247="Не начато",M247="В работе",M247="Нужно решение"),C247&lt;TODAY()),TODAY()-C247,"")</f>
        <v/>
      </c>
      <c r="Q247" s="10" t="s">
        <v>238</v>
      </c>
      <c r="R247" s="10" t="s">
        <v>487</v>
      </c>
      <c r="S247" s="10"/>
      <c r="T247" s="10" t="s">
        <v>495</v>
      </c>
      <c r="U247" s="10" t="n">
        <v>278</v>
      </c>
    </row>
    <row r="248" customFormat="false" ht="23.85" hidden="false" customHeight="false" outlineLevel="0" collapsed="false">
      <c r="A248" s="10" t="n">
        <v>247</v>
      </c>
      <c r="B248" s="10" t="s">
        <v>88</v>
      </c>
      <c r="C248" s="21" t="n">
        <v>46295</v>
      </c>
      <c r="D248" s="10" t="s">
        <v>441</v>
      </c>
      <c r="E248" s="10" t="s">
        <v>112</v>
      </c>
      <c r="F248" s="10" t="s">
        <v>406</v>
      </c>
      <c r="G248" s="10" t="s">
        <v>136</v>
      </c>
      <c r="H248" s="10"/>
      <c r="I248" s="9" t="n">
        <v>125000</v>
      </c>
      <c r="J248" s="9"/>
      <c r="K248" s="10" t="s">
        <v>96</v>
      </c>
      <c r="L248" s="10" t="s">
        <v>104</v>
      </c>
      <c r="M248" s="16" t="str">
        <f aca="false">IFERROR(VLOOKUP(N248,Словарь!$A$2:$B$15,2,FALSE()),"Нужно решение")</f>
        <v>Выполнено, ждёт акта</v>
      </c>
      <c r="N248" s="10" t="s">
        <v>150</v>
      </c>
      <c r="O248" s="10" t="s">
        <v>151</v>
      </c>
      <c r="P248" s="22" t="str">
        <f aca="true">IF(AND(OR(M248="Не начато",M248="В работе",M248="Нужно решение"),C248&lt;TODAY()),TODAY()-C248,"")</f>
        <v/>
      </c>
      <c r="Q248" s="10" t="s">
        <v>238</v>
      </c>
      <c r="R248" s="10" t="s">
        <v>487</v>
      </c>
      <c r="S248" s="10"/>
      <c r="T248" s="10" t="s">
        <v>239</v>
      </c>
      <c r="U248" s="10" t="n">
        <v>279</v>
      </c>
    </row>
    <row r="249" customFormat="false" ht="23.85" hidden="false" customHeight="false" outlineLevel="0" collapsed="false">
      <c r="A249" s="10" t="n">
        <v>248</v>
      </c>
      <c r="B249" s="10" t="s">
        <v>88</v>
      </c>
      <c r="C249" s="21" t="n">
        <v>46295</v>
      </c>
      <c r="D249" s="10" t="s">
        <v>153</v>
      </c>
      <c r="E249" s="10" t="s">
        <v>112</v>
      </c>
      <c r="F249" s="10" t="s">
        <v>680</v>
      </c>
      <c r="G249" s="10" t="s">
        <v>174</v>
      </c>
      <c r="H249" s="10"/>
      <c r="I249" s="9" t="n">
        <v>600000</v>
      </c>
      <c r="J249" s="9"/>
      <c r="K249" s="10" t="s">
        <v>96</v>
      </c>
      <c r="L249" s="10" t="s">
        <v>104</v>
      </c>
      <c r="M249" s="16" t="str">
        <f aca="false">IFERROR(VLOOKUP(N249,Словарь!$A$2:$B$15,2,FALSE()),"Нужно решение")</f>
        <v>В работе</v>
      </c>
      <c r="N249" s="10" t="s">
        <v>13</v>
      </c>
      <c r="O249" s="10"/>
      <c r="P249" s="22" t="n">
        <f aca="true">IF(AND(OR(M249="Не начато",M249="В работе",M249="Нужно решение"),C249&lt;TODAY()),TODAY()-C249,"")</f>
        <v>27</v>
      </c>
      <c r="Q249" s="10" t="s">
        <v>238</v>
      </c>
      <c r="R249" s="10" t="s">
        <v>487</v>
      </c>
      <c r="S249" s="10"/>
      <c r="T249" s="10" t="s">
        <v>569</v>
      </c>
      <c r="U249" s="10" t="n">
        <v>264</v>
      </c>
    </row>
    <row r="250" customFormat="false" ht="23.85" hidden="false" customHeight="false" outlineLevel="0" collapsed="false">
      <c r="A250" s="10" t="n">
        <v>249</v>
      </c>
      <c r="B250" s="10" t="s">
        <v>88</v>
      </c>
      <c r="C250" s="21" t="n">
        <v>46295</v>
      </c>
      <c r="D250" s="10" t="s">
        <v>681</v>
      </c>
      <c r="E250" s="10" t="s">
        <v>112</v>
      </c>
      <c r="F250" s="10" t="s">
        <v>682</v>
      </c>
      <c r="G250" s="10" t="s">
        <v>188</v>
      </c>
      <c r="H250" s="10" t="s">
        <v>683</v>
      </c>
      <c r="I250" s="9" t="n">
        <v>200000</v>
      </c>
      <c r="J250" s="9"/>
      <c r="K250" s="10" t="s">
        <v>96</v>
      </c>
      <c r="L250" s="10" t="s">
        <v>104</v>
      </c>
      <c r="M250" s="16" t="str">
        <f aca="false">IFERROR(VLOOKUP(N250,Словарь!$A$2:$B$15,2,FALSE()),"Нужно решение")</f>
        <v>Выполнено, ждёт акта</v>
      </c>
      <c r="N250" s="10" t="s">
        <v>150</v>
      </c>
      <c r="O250" s="10"/>
      <c r="P250" s="22" t="str">
        <f aca="true">IF(AND(OR(M250="Не начато",M250="В работе",M250="Нужно решение"),C250&lt;TODAY()),TODAY()-C250,"")</f>
        <v/>
      </c>
      <c r="Q250" s="10" t="s">
        <v>238</v>
      </c>
      <c r="R250" s="10" t="s">
        <v>487</v>
      </c>
      <c r="S250" s="10"/>
      <c r="T250" s="10" t="s">
        <v>684</v>
      </c>
      <c r="U250" s="10" t="n">
        <v>265</v>
      </c>
    </row>
    <row r="251" customFormat="false" ht="23.85" hidden="false" customHeight="false" outlineLevel="0" collapsed="false">
      <c r="A251" s="10" t="n">
        <v>250</v>
      </c>
      <c r="B251" s="10" t="s">
        <v>88</v>
      </c>
      <c r="C251" s="21" t="n">
        <v>46295</v>
      </c>
      <c r="D251" s="10" t="s">
        <v>681</v>
      </c>
      <c r="E251" s="10" t="s">
        <v>112</v>
      </c>
      <c r="F251" s="10" t="s">
        <v>685</v>
      </c>
      <c r="G251" s="10" t="s">
        <v>192</v>
      </c>
      <c r="H251" s="10" t="s">
        <v>686</v>
      </c>
      <c r="I251" s="9"/>
      <c r="J251" s="9"/>
      <c r="K251" s="10" t="s">
        <v>95</v>
      </c>
      <c r="L251" s="10" t="s">
        <v>104</v>
      </c>
      <c r="M251" s="16" t="str">
        <f aca="false">IFERROR(VLOOKUP(N251,Словарь!$A$2:$B$15,2,FALSE()),"Нужно решение")</f>
        <v>Не начато</v>
      </c>
      <c r="N251" s="10" t="s">
        <v>10</v>
      </c>
      <c r="O251" s="10"/>
      <c r="P251" s="22" t="n">
        <f aca="true">IF(AND(OR(M251="Не начато",M251="В работе",M251="Нужно решение"),C251&lt;TODAY()),TODAY()-C251,"")</f>
        <v>27</v>
      </c>
      <c r="Q251" s="10" t="s">
        <v>238</v>
      </c>
      <c r="R251" s="10" t="s">
        <v>487</v>
      </c>
      <c r="S251" s="10"/>
      <c r="T251" s="10"/>
      <c r="U251" s="10" t="n">
        <v>266</v>
      </c>
    </row>
    <row r="252" customFormat="false" ht="35.05" hidden="false" customHeight="false" outlineLevel="0" collapsed="false">
      <c r="A252" s="10" t="n">
        <v>251</v>
      </c>
      <c r="B252" s="10" t="s">
        <v>88</v>
      </c>
      <c r="C252" s="21" t="n">
        <v>46295</v>
      </c>
      <c r="D252" s="10" t="s">
        <v>681</v>
      </c>
      <c r="E252" s="10" t="s">
        <v>112</v>
      </c>
      <c r="F252" s="10" t="s">
        <v>687</v>
      </c>
      <c r="G252" s="10" t="s">
        <v>174</v>
      </c>
      <c r="H252" s="10" t="s">
        <v>688</v>
      </c>
      <c r="I252" s="9"/>
      <c r="J252" s="9"/>
      <c r="K252" s="10" t="s">
        <v>96</v>
      </c>
      <c r="L252" s="10" t="s">
        <v>104</v>
      </c>
      <c r="M252" s="16" t="str">
        <f aca="false">IFERROR(VLOOKUP(N252,Словарь!$A$2:$B$15,2,FALSE()),"Нужно решение")</f>
        <v>Выполнено, ждёт акта</v>
      </c>
      <c r="N252" s="10" t="s">
        <v>150</v>
      </c>
      <c r="O252" s="10" t="s">
        <v>151</v>
      </c>
      <c r="P252" s="22" t="str">
        <f aca="true">IF(AND(OR(M252="Не начато",M252="В работе",M252="Нужно решение"),C252&lt;TODAY()),TODAY()-C252,"")</f>
        <v/>
      </c>
      <c r="Q252" s="10" t="s">
        <v>238</v>
      </c>
      <c r="R252" s="10" t="s">
        <v>487</v>
      </c>
      <c r="S252" s="10"/>
      <c r="T252" s="10" t="s">
        <v>495</v>
      </c>
      <c r="U252" s="10" t="n">
        <v>267</v>
      </c>
    </row>
    <row r="253" customFormat="false" ht="23.85" hidden="false" customHeight="false" outlineLevel="0" collapsed="false">
      <c r="A253" s="10" t="n">
        <v>252</v>
      </c>
      <c r="B253" s="10" t="s">
        <v>88</v>
      </c>
      <c r="C253" s="21" t="n">
        <v>46295</v>
      </c>
      <c r="D253" s="10" t="s">
        <v>689</v>
      </c>
      <c r="E253" s="10" t="s">
        <v>113</v>
      </c>
      <c r="F253" s="10" t="s">
        <v>690</v>
      </c>
      <c r="G253" s="10" t="s">
        <v>691</v>
      </c>
      <c r="H253" s="10" t="s">
        <v>692</v>
      </c>
      <c r="I253" s="9" t="n">
        <v>150000</v>
      </c>
      <c r="J253" s="9"/>
      <c r="K253" s="10" t="s">
        <v>97</v>
      </c>
      <c r="L253" s="10" t="s">
        <v>103</v>
      </c>
      <c r="M253" s="16" t="str">
        <f aca="false">IFERROR(VLOOKUP(N253,Словарь!$A$2:$B$15,2,FALSE()),"Нужно решение")</f>
        <v>Снято с плана</v>
      </c>
      <c r="N253" s="10" t="s">
        <v>164</v>
      </c>
      <c r="O253" s="10"/>
      <c r="P253" s="22" t="str">
        <f aca="true">IF(AND(OR(M253="Не начато",M253="В работе",M253="Нужно решение"),C253&lt;TODAY()),TODAY()-C253,"")</f>
        <v/>
      </c>
      <c r="Q253" s="10" t="s">
        <v>238</v>
      </c>
      <c r="R253" s="10" t="s">
        <v>487</v>
      </c>
      <c r="S253" s="10"/>
      <c r="T253" s="10" t="s">
        <v>590</v>
      </c>
      <c r="U253" s="10" t="n">
        <v>257</v>
      </c>
    </row>
    <row r="254" customFormat="false" ht="23.85" hidden="false" customHeight="false" outlineLevel="0" collapsed="false">
      <c r="A254" s="10" t="n">
        <v>253</v>
      </c>
      <c r="B254" s="10" t="s">
        <v>88</v>
      </c>
      <c r="C254" s="21" t="n">
        <v>46295</v>
      </c>
      <c r="D254" s="10" t="s">
        <v>693</v>
      </c>
      <c r="E254" s="10" t="s">
        <v>112</v>
      </c>
      <c r="F254" s="10" t="s">
        <v>406</v>
      </c>
      <c r="G254" s="10" t="s">
        <v>136</v>
      </c>
      <c r="H254" s="10"/>
      <c r="I254" s="9" t="n">
        <v>125000</v>
      </c>
      <c r="J254" s="9"/>
      <c r="K254" s="10" t="s">
        <v>96</v>
      </c>
      <c r="L254" s="10" t="s">
        <v>103</v>
      </c>
      <c r="M254" s="16" t="str">
        <f aca="false">IFERROR(VLOOKUP(N254,Словарь!$A$2:$B$15,2,FALSE()),"Нужно решение")</f>
        <v>Выполнено, ждёт акта</v>
      </c>
      <c r="N254" s="10" t="s">
        <v>150</v>
      </c>
      <c r="O254" s="10" t="s">
        <v>151</v>
      </c>
      <c r="P254" s="22" t="str">
        <f aca="true">IF(AND(OR(M254="Не начато",M254="В работе",M254="Нужно решение"),C254&lt;TODAY()),TODAY()-C254,"")</f>
        <v/>
      </c>
      <c r="Q254" s="10" t="s">
        <v>238</v>
      </c>
      <c r="R254" s="10" t="s">
        <v>487</v>
      </c>
      <c r="S254" s="10"/>
      <c r="T254" s="10" t="s">
        <v>239</v>
      </c>
      <c r="U254" s="10" t="n">
        <v>256</v>
      </c>
    </row>
    <row r="255" customFormat="false" ht="23.85" hidden="false" customHeight="false" outlineLevel="0" collapsed="false">
      <c r="A255" s="10" t="n">
        <v>254</v>
      </c>
      <c r="B255" s="10" t="s">
        <v>88</v>
      </c>
      <c r="C255" s="21" t="n">
        <v>46295</v>
      </c>
      <c r="D255" s="10" t="s">
        <v>232</v>
      </c>
      <c r="E255" s="10" t="s">
        <v>112</v>
      </c>
      <c r="F255" s="10" t="s">
        <v>694</v>
      </c>
      <c r="G255" s="10" t="s">
        <v>188</v>
      </c>
      <c r="H255" s="10" t="s">
        <v>695</v>
      </c>
      <c r="I255" s="9"/>
      <c r="J255" s="9"/>
      <c r="K255" s="10" t="s">
        <v>95</v>
      </c>
      <c r="L255" s="10" t="s">
        <v>100</v>
      </c>
      <c r="M255" s="16" t="str">
        <f aca="false">IFERROR(VLOOKUP(N255,Словарь!$A$2:$B$15,2,FALSE()),"Нужно решение")</f>
        <v>В работе</v>
      </c>
      <c r="N255" s="10" t="s">
        <v>13</v>
      </c>
      <c r="O255" s="10"/>
      <c r="P255" s="22" t="n">
        <f aca="true">IF(AND(OR(M255="Не начато",M255="В работе",M255="Нужно решение"),C255&lt;TODAY()),TODAY()-C255,"")</f>
        <v>27</v>
      </c>
      <c r="Q255" s="10" t="s">
        <v>238</v>
      </c>
      <c r="R255" s="10" t="s">
        <v>487</v>
      </c>
      <c r="S255" s="10"/>
      <c r="T255" s="10" t="s">
        <v>696</v>
      </c>
      <c r="U255" s="10" t="n">
        <v>262</v>
      </c>
    </row>
    <row r="256" customFormat="false" ht="23.85" hidden="false" customHeight="false" outlineLevel="0" collapsed="false">
      <c r="A256" s="10" t="n">
        <v>255</v>
      </c>
      <c r="B256" s="10" t="s">
        <v>88</v>
      </c>
      <c r="C256" s="21" t="n">
        <v>46295</v>
      </c>
      <c r="D256" s="10" t="s">
        <v>232</v>
      </c>
      <c r="E256" s="10" t="s">
        <v>112</v>
      </c>
      <c r="F256" s="10" t="s">
        <v>697</v>
      </c>
      <c r="G256" s="10" t="s">
        <v>188</v>
      </c>
      <c r="H256" s="10" t="s">
        <v>698</v>
      </c>
      <c r="I256" s="9"/>
      <c r="J256" s="9"/>
      <c r="K256" s="10" t="s">
        <v>95</v>
      </c>
      <c r="L256" s="10" t="s">
        <v>100</v>
      </c>
      <c r="M256" s="16" t="str">
        <f aca="false">IFERROR(VLOOKUP(N256,Словарь!$A$2:$B$15,2,FALSE()),"Нужно решение")</f>
        <v>Не начато</v>
      </c>
      <c r="N256" s="10" t="s">
        <v>10</v>
      </c>
      <c r="O256" s="10"/>
      <c r="P256" s="22" t="n">
        <f aca="true">IF(AND(OR(M256="Не начато",M256="В работе",M256="Нужно решение"),C256&lt;TODAY()),TODAY()-C256,"")</f>
        <v>27</v>
      </c>
      <c r="Q256" s="10" t="s">
        <v>238</v>
      </c>
      <c r="R256" s="10" t="s">
        <v>487</v>
      </c>
      <c r="S256" s="10"/>
      <c r="T256" s="10"/>
      <c r="U256" s="10" t="n">
        <v>263</v>
      </c>
    </row>
    <row r="257" customFormat="false" ht="23.85" hidden="false" customHeight="false" outlineLevel="0" collapsed="false">
      <c r="A257" s="10" t="n">
        <v>256</v>
      </c>
      <c r="B257" s="10" t="s">
        <v>88</v>
      </c>
      <c r="C257" s="21" t="n">
        <v>46295</v>
      </c>
      <c r="D257" s="10" t="s">
        <v>699</v>
      </c>
      <c r="E257" s="10" t="s">
        <v>112</v>
      </c>
      <c r="F257" s="10" t="s">
        <v>700</v>
      </c>
      <c r="G257" s="10" t="s">
        <v>162</v>
      </c>
      <c r="H257" s="10" t="s">
        <v>701</v>
      </c>
      <c r="I257" s="9" t="n">
        <v>450000</v>
      </c>
      <c r="J257" s="9"/>
      <c r="K257" s="10" t="s">
        <v>95</v>
      </c>
      <c r="L257" s="10" t="s">
        <v>107</v>
      </c>
      <c r="M257" s="16" t="str">
        <f aca="false">IFERROR(VLOOKUP(N257,Словарь!$A$2:$B$15,2,FALSE()),"Нужно решение")</f>
        <v>Выполнено, ждёт акта</v>
      </c>
      <c r="N257" s="10" t="s">
        <v>150</v>
      </c>
      <c r="O257" s="10"/>
      <c r="P257" s="22" t="str">
        <f aca="true">IF(AND(OR(M257="Не начато",M257="В работе",M257="Нужно решение"),C257&lt;TODAY()),TODAY()-C257,"")</f>
        <v/>
      </c>
      <c r="Q257" s="10" t="s">
        <v>238</v>
      </c>
      <c r="R257" s="10" t="s">
        <v>487</v>
      </c>
      <c r="S257" s="10"/>
      <c r="T257" s="10" t="s">
        <v>319</v>
      </c>
      <c r="U257" s="10" t="n">
        <v>258</v>
      </c>
    </row>
    <row r="258" customFormat="false" ht="23.85" hidden="false" customHeight="false" outlineLevel="0" collapsed="false">
      <c r="A258" s="10" t="n">
        <v>257</v>
      </c>
      <c r="B258" s="10" t="s">
        <v>88</v>
      </c>
      <c r="C258" s="21" t="n">
        <v>46295</v>
      </c>
      <c r="D258" s="10" t="s">
        <v>699</v>
      </c>
      <c r="E258" s="10" t="s">
        <v>112</v>
      </c>
      <c r="F258" s="10" t="s">
        <v>406</v>
      </c>
      <c r="G258" s="10" t="s">
        <v>136</v>
      </c>
      <c r="H258" s="10"/>
      <c r="I258" s="9" t="n">
        <v>125000</v>
      </c>
      <c r="J258" s="9"/>
      <c r="K258" s="10" t="s">
        <v>95</v>
      </c>
      <c r="L258" s="10" t="s">
        <v>107</v>
      </c>
      <c r="M258" s="16" t="str">
        <f aca="false">IFERROR(VLOOKUP(N258,Словарь!$A$2:$B$15,2,FALSE()),"Нужно решение")</f>
        <v>Выполнено, ждёт акта</v>
      </c>
      <c r="N258" s="10" t="s">
        <v>150</v>
      </c>
      <c r="O258" s="10" t="s">
        <v>377</v>
      </c>
      <c r="P258" s="22" t="str">
        <f aca="true">IF(AND(OR(M258="Не начато",M258="В работе",M258="Нужно решение"),C258&lt;TODAY()),TODAY()-C258,"")</f>
        <v/>
      </c>
      <c r="Q258" s="10" t="s">
        <v>238</v>
      </c>
      <c r="R258" s="10" t="s">
        <v>487</v>
      </c>
      <c r="S258" s="10"/>
      <c r="T258" s="10" t="s">
        <v>319</v>
      </c>
      <c r="U258" s="10" t="n">
        <v>259</v>
      </c>
    </row>
    <row r="259" customFormat="false" ht="23.85" hidden="false" customHeight="false" outlineLevel="0" collapsed="false">
      <c r="A259" s="10" t="n">
        <v>258</v>
      </c>
      <c r="B259" s="10" t="s">
        <v>88</v>
      </c>
      <c r="C259" s="21" t="n">
        <v>46295</v>
      </c>
      <c r="D259" s="10" t="s">
        <v>702</v>
      </c>
      <c r="E259" s="10" t="s">
        <v>112</v>
      </c>
      <c r="F259" s="10" t="s">
        <v>406</v>
      </c>
      <c r="G259" s="10" t="s">
        <v>136</v>
      </c>
      <c r="H259" s="10"/>
      <c r="I259" s="9" t="n">
        <v>125000</v>
      </c>
      <c r="J259" s="9"/>
      <c r="K259" s="10" t="s">
        <v>96</v>
      </c>
      <c r="L259" s="10" t="s">
        <v>107</v>
      </c>
      <c r="M259" s="16" t="str">
        <f aca="false">IFERROR(VLOOKUP(N259,Словарь!$A$2:$B$15,2,FALSE()),"Нужно решение")</f>
        <v>Выполнено, ждёт акта</v>
      </c>
      <c r="N259" s="10" t="s">
        <v>150</v>
      </c>
      <c r="O259" s="10" t="s">
        <v>491</v>
      </c>
      <c r="P259" s="22" t="str">
        <f aca="true">IF(AND(OR(M259="Не начато",M259="В работе",M259="Нужно решение"),C259&lt;TODAY()),TODAY()-C259,"")</f>
        <v/>
      </c>
      <c r="Q259" s="10" t="s">
        <v>238</v>
      </c>
      <c r="R259" s="10" t="s">
        <v>487</v>
      </c>
      <c r="S259" s="10"/>
      <c r="T259" s="10" t="s">
        <v>703</v>
      </c>
      <c r="U259" s="10" t="n">
        <v>260</v>
      </c>
    </row>
    <row r="260" customFormat="false" ht="23.85" hidden="false" customHeight="false" outlineLevel="0" collapsed="false">
      <c r="A260" s="10" t="n">
        <v>259</v>
      </c>
      <c r="B260" s="10" t="s">
        <v>88</v>
      </c>
      <c r="C260" s="21" t="n">
        <v>46295</v>
      </c>
      <c r="D260" s="10" t="s">
        <v>704</v>
      </c>
      <c r="E260" s="10" t="s">
        <v>112</v>
      </c>
      <c r="F260" s="10" t="s">
        <v>406</v>
      </c>
      <c r="G260" s="10" t="s">
        <v>136</v>
      </c>
      <c r="H260" s="10"/>
      <c r="I260" s="9" t="n">
        <v>125000</v>
      </c>
      <c r="J260" s="9"/>
      <c r="K260" s="10" t="s">
        <v>96</v>
      </c>
      <c r="L260" s="10" t="s">
        <v>107</v>
      </c>
      <c r="M260" s="16" t="str">
        <f aca="false">IFERROR(VLOOKUP(N260,Словарь!$A$2:$B$15,2,FALSE()),"Нужно решение")</f>
        <v>Выполнено, ждёт акта</v>
      </c>
      <c r="N260" s="10" t="s">
        <v>150</v>
      </c>
      <c r="O260" s="10" t="s">
        <v>151</v>
      </c>
      <c r="P260" s="22" t="str">
        <f aca="true">IF(AND(OR(M260="Не начато",M260="В работе",M260="Нужно решение"),C260&lt;TODAY()),TODAY()-C260,"")</f>
        <v/>
      </c>
      <c r="Q260" s="10" t="s">
        <v>238</v>
      </c>
      <c r="R260" s="10" t="s">
        <v>487</v>
      </c>
      <c r="S260" s="10"/>
      <c r="T260" s="10" t="s">
        <v>239</v>
      </c>
      <c r="U260" s="10" t="n">
        <v>261</v>
      </c>
    </row>
    <row r="261" customFormat="false" ht="46.25" hidden="false" customHeight="false" outlineLevel="0" collapsed="false">
      <c r="A261" s="10" t="n">
        <v>260</v>
      </c>
      <c r="B261" s="10" t="s">
        <v>88</v>
      </c>
      <c r="C261" s="21" t="n">
        <v>46295</v>
      </c>
      <c r="D261" s="10" t="s">
        <v>705</v>
      </c>
      <c r="E261" s="10" t="s">
        <v>112</v>
      </c>
      <c r="F261" s="10" t="s">
        <v>706</v>
      </c>
      <c r="G261" s="10" t="s">
        <v>174</v>
      </c>
      <c r="H261" s="10" t="s">
        <v>707</v>
      </c>
      <c r="I261" s="9"/>
      <c r="J261" s="9"/>
      <c r="K261" s="10" t="s">
        <v>95</v>
      </c>
      <c r="L261" s="10" t="s">
        <v>101</v>
      </c>
      <c r="M261" s="16" t="str">
        <f aca="false">IFERROR(VLOOKUP(N261,Словарь!$A$2:$B$15,2,FALSE()),"Нужно решение")</f>
        <v>В работе</v>
      </c>
      <c r="N261" s="10" t="s">
        <v>505</v>
      </c>
      <c r="O261" s="10"/>
      <c r="P261" s="22" t="n">
        <f aca="true">IF(AND(OR(M261="Не начато",M261="В работе",M261="Нужно решение"),C261&lt;TODAY()),TODAY()-C261,"")</f>
        <v>27</v>
      </c>
      <c r="Q261" s="10" t="s">
        <v>238</v>
      </c>
      <c r="R261" s="10" t="s">
        <v>487</v>
      </c>
      <c r="S261" s="10" t="s">
        <v>560</v>
      </c>
      <c r="T261" s="10" t="s">
        <v>708</v>
      </c>
      <c r="U261" s="10" t="n">
        <v>291</v>
      </c>
    </row>
    <row r="262" customFormat="false" ht="35.05" hidden="false" customHeight="false" outlineLevel="0" collapsed="false">
      <c r="A262" s="10" t="n">
        <v>261</v>
      </c>
      <c r="B262" s="10" t="s">
        <v>88</v>
      </c>
      <c r="C262" s="21" t="n">
        <v>46295</v>
      </c>
      <c r="D262" s="10" t="s">
        <v>709</v>
      </c>
      <c r="E262" s="10" t="s">
        <v>113</v>
      </c>
      <c r="F262" s="10" t="s">
        <v>710</v>
      </c>
      <c r="G262" s="10" t="s">
        <v>174</v>
      </c>
      <c r="H262" s="10"/>
      <c r="I262" s="9" t="n">
        <v>140000</v>
      </c>
      <c r="J262" s="9"/>
      <c r="K262" s="10" t="s">
        <v>95</v>
      </c>
      <c r="L262" s="10" t="s">
        <v>101</v>
      </c>
      <c r="M262" s="16" t="str">
        <f aca="false">IFERROR(VLOOKUP(N262,Словарь!$A$2:$B$15,2,FALSE()),"Нужно решение")</f>
        <v>Нужно решение</v>
      </c>
      <c r="N262" s="10" t="s">
        <v>541</v>
      </c>
      <c r="O262" s="10"/>
      <c r="P262" s="22" t="n">
        <f aca="true">IF(AND(OR(M262="Не начато",M262="В работе",M262="Нужно решение"),C262&lt;TODAY()),TODAY()-C262,"")</f>
        <v>27</v>
      </c>
      <c r="Q262" s="10" t="s">
        <v>238</v>
      </c>
      <c r="R262" s="10" t="s">
        <v>487</v>
      </c>
      <c r="S262" s="10" t="s">
        <v>560</v>
      </c>
      <c r="T262" s="10" t="s">
        <v>711</v>
      </c>
      <c r="U262" s="10" t="n">
        <v>280</v>
      </c>
    </row>
    <row r="263" customFormat="false" ht="23.85" hidden="false" customHeight="false" outlineLevel="0" collapsed="false">
      <c r="A263" s="10" t="n">
        <v>262</v>
      </c>
      <c r="B263" s="10" t="s">
        <v>88</v>
      </c>
      <c r="C263" s="21" t="n">
        <v>46295</v>
      </c>
      <c r="D263" s="10" t="s">
        <v>712</v>
      </c>
      <c r="E263" s="10" t="s">
        <v>112</v>
      </c>
      <c r="F263" s="10" t="s">
        <v>713</v>
      </c>
      <c r="G263" s="10" t="s">
        <v>174</v>
      </c>
      <c r="H263" s="10" t="s">
        <v>714</v>
      </c>
      <c r="I263" s="9"/>
      <c r="J263" s="9"/>
      <c r="K263" s="10" t="s">
        <v>96</v>
      </c>
      <c r="L263" s="10" t="s">
        <v>108</v>
      </c>
      <c r="M263" s="16" t="str">
        <f aca="false">IFERROR(VLOOKUP(N263,Словарь!$A$2:$B$15,2,FALSE()),"Нужно решение")</f>
        <v>Выполнено, ждёт акта</v>
      </c>
      <c r="N263" s="10" t="s">
        <v>150</v>
      </c>
      <c r="O263" s="10" t="s">
        <v>151</v>
      </c>
      <c r="P263" s="22" t="str">
        <f aca="true">IF(AND(OR(M263="Не начато",M263="В работе",M263="Нужно решение"),C263&lt;TODAY()),TODAY()-C263,"")</f>
        <v/>
      </c>
      <c r="Q263" s="10" t="s">
        <v>238</v>
      </c>
      <c r="R263" s="10" t="s">
        <v>487</v>
      </c>
      <c r="S263" s="10"/>
      <c r="T263" s="10" t="s">
        <v>495</v>
      </c>
      <c r="U263" s="10" t="n">
        <v>281</v>
      </c>
    </row>
    <row r="264" customFormat="false" ht="23.85" hidden="false" customHeight="false" outlineLevel="0" collapsed="false">
      <c r="A264" s="10" t="n">
        <v>263</v>
      </c>
      <c r="B264" s="10" t="s">
        <v>88</v>
      </c>
      <c r="C264" s="21" t="n">
        <v>46295</v>
      </c>
      <c r="D264" s="10" t="s">
        <v>301</v>
      </c>
      <c r="E264" s="10" t="s">
        <v>112</v>
      </c>
      <c r="F264" s="10" t="s">
        <v>715</v>
      </c>
      <c r="G264" s="10" t="s">
        <v>183</v>
      </c>
      <c r="H264" s="10" t="s">
        <v>716</v>
      </c>
      <c r="I264" s="9" t="n">
        <v>50000</v>
      </c>
      <c r="J264" s="9"/>
      <c r="K264" s="10" t="s">
        <v>95</v>
      </c>
      <c r="L264" s="10" t="s">
        <v>100</v>
      </c>
      <c r="M264" s="16" t="str">
        <f aca="false">IFERROR(VLOOKUP(N264,Словарь!$A$2:$B$15,2,FALSE()),"Нужно решение")</f>
        <v>Не начато</v>
      </c>
      <c r="N264" s="10" t="s">
        <v>10</v>
      </c>
      <c r="O264" s="10"/>
      <c r="P264" s="22" t="n">
        <f aca="true">IF(AND(OR(M264="Не начато",M264="В работе",M264="Нужно решение"),C264&lt;TODAY()),TODAY()-C264,"")</f>
        <v>27</v>
      </c>
      <c r="Q264" s="10" t="s">
        <v>238</v>
      </c>
      <c r="R264" s="10" t="s">
        <v>487</v>
      </c>
      <c r="S264" s="10"/>
      <c r="T264" s="10"/>
      <c r="U264" s="10" t="n">
        <v>282</v>
      </c>
    </row>
    <row r="265" customFormat="false" ht="23.85" hidden="false" customHeight="false" outlineLevel="0" collapsed="false">
      <c r="A265" s="10" t="n">
        <v>264</v>
      </c>
      <c r="B265" s="10" t="s">
        <v>88</v>
      </c>
      <c r="C265" s="21" t="n">
        <v>46295</v>
      </c>
      <c r="D265" s="10" t="s">
        <v>301</v>
      </c>
      <c r="E265" s="10" t="s">
        <v>112</v>
      </c>
      <c r="F265" s="10" t="s">
        <v>717</v>
      </c>
      <c r="G265" s="10" t="s">
        <v>183</v>
      </c>
      <c r="H265" s="10" t="s">
        <v>718</v>
      </c>
      <c r="I265" s="9"/>
      <c r="J265" s="9"/>
      <c r="K265" s="10" t="s">
        <v>96</v>
      </c>
      <c r="L265" s="10" t="s">
        <v>108</v>
      </c>
      <c r="M265" s="16" t="str">
        <f aca="false">IFERROR(VLOOKUP(N265,Словарь!$A$2:$B$15,2,FALSE()),"Нужно решение")</f>
        <v>Отложено на зиму</v>
      </c>
      <c r="N265" s="10" t="s">
        <v>22</v>
      </c>
      <c r="O265" s="10"/>
      <c r="P265" s="22" t="str">
        <f aca="true">IF(AND(OR(M265="Не начато",M265="В работе",M265="Нужно решение"),C265&lt;TODAY()),TODAY()-C265,"")</f>
        <v/>
      </c>
      <c r="Q265" s="10" t="s">
        <v>238</v>
      </c>
      <c r="R265" s="10" t="s">
        <v>487</v>
      </c>
      <c r="S265" s="10"/>
      <c r="T265" s="10" t="s">
        <v>522</v>
      </c>
      <c r="U265" s="10" t="n">
        <v>283</v>
      </c>
    </row>
    <row r="266" customFormat="false" ht="23.85" hidden="false" customHeight="false" outlineLevel="0" collapsed="false">
      <c r="A266" s="10" t="n">
        <v>265</v>
      </c>
      <c r="B266" s="10" t="s">
        <v>88</v>
      </c>
      <c r="C266" s="21" t="n">
        <v>46295</v>
      </c>
      <c r="D266" s="10" t="s">
        <v>301</v>
      </c>
      <c r="E266" s="10" t="s">
        <v>112</v>
      </c>
      <c r="F266" s="10" t="s">
        <v>719</v>
      </c>
      <c r="G266" s="10" t="s">
        <v>245</v>
      </c>
      <c r="H266" s="10" t="s">
        <v>720</v>
      </c>
      <c r="I266" s="9"/>
      <c r="J266" s="9"/>
      <c r="K266" s="10" t="s">
        <v>96</v>
      </c>
      <c r="L266" s="10" t="s">
        <v>108</v>
      </c>
      <c r="M266" s="16" t="str">
        <f aca="false">IFERROR(VLOOKUP(N266,Словарь!$A$2:$B$15,2,FALSE()),"Нужно решение")</f>
        <v>Выполнено, ждёт акта</v>
      </c>
      <c r="N266" s="10" t="s">
        <v>150</v>
      </c>
      <c r="O266" s="10" t="s">
        <v>151</v>
      </c>
      <c r="P266" s="22" t="str">
        <f aca="true">IF(AND(OR(M266="Не начато",M266="В работе",M266="Нужно решение"),C266&lt;TODAY()),TODAY()-C266,"")</f>
        <v/>
      </c>
      <c r="Q266" s="10" t="s">
        <v>238</v>
      </c>
      <c r="R266" s="10" t="s">
        <v>487</v>
      </c>
      <c r="S266" s="10"/>
      <c r="T266" s="10" t="s">
        <v>495</v>
      </c>
      <c r="U266" s="10" t="n">
        <v>284</v>
      </c>
    </row>
    <row r="267" customFormat="false" ht="23.85" hidden="false" customHeight="false" outlineLevel="0" collapsed="false">
      <c r="A267" s="10" t="n">
        <v>266</v>
      </c>
      <c r="B267" s="10" t="s">
        <v>88</v>
      </c>
      <c r="C267" s="21" t="n">
        <v>46295</v>
      </c>
      <c r="D267" s="10" t="s">
        <v>301</v>
      </c>
      <c r="E267" s="10" t="s">
        <v>112</v>
      </c>
      <c r="F267" s="10" t="s">
        <v>721</v>
      </c>
      <c r="G267" s="10" t="s">
        <v>148</v>
      </c>
      <c r="H267" s="10"/>
      <c r="I267" s="9" t="n">
        <v>12000</v>
      </c>
      <c r="J267" s="9" t="n">
        <v>12000</v>
      </c>
      <c r="K267" s="10" t="s">
        <v>97</v>
      </c>
      <c r="L267" s="10" t="s">
        <v>100</v>
      </c>
      <c r="M267" s="16" t="str">
        <f aca="false">IFERROR(VLOOKUP(N267,Словарь!$A$2:$B$15,2,FALSE()),"Нужно решение")</f>
        <v>Принято с актом</v>
      </c>
      <c r="N267" s="10" t="s">
        <v>138</v>
      </c>
      <c r="O267" s="10" t="s">
        <v>155</v>
      </c>
      <c r="P267" s="22" t="str">
        <f aca="true">IF(AND(OR(M267="Не начато",M267="В работе",M267="Нужно решение"),C267&lt;TODAY()),TODAY()-C267,"")</f>
        <v/>
      </c>
      <c r="Q267" s="10" t="s">
        <v>143</v>
      </c>
      <c r="R267" s="10" t="s">
        <v>722</v>
      </c>
      <c r="S267" s="10"/>
      <c r="T267" s="10" t="s">
        <v>207</v>
      </c>
      <c r="U267" s="10" t="n">
        <v>285</v>
      </c>
    </row>
    <row r="268" customFormat="false" ht="35.05" hidden="false" customHeight="false" outlineLevel="0" collapsed="false">
      <c r="A268" s="10" t="n">
        <v>267</v>
      </c>
      <c r="B268" s="10" t="s">
        <v>88</v>
      </c>
      <c r="C268" s="21" t="n">
        <v>46295</v>
      </c>
      <c r="D268" s="10" t="s">
        <v>304</v>
      </c>
      <c r="E268" s="10" t="s">
        <v>112</v>
      </c>
      <c r="F268" s="10" t="s">
        <v>723</v>
      </c>
      <c r="G268" s="10" t="s">
        <v>192</v>
      </c>
      <c r="H268" s="10" t="s">
        <v>724</v>
      </c>
      <c r="I268" s="9" t="n">
        <v>70000</v>
      </c>
      <c r="J268" s="9"/>
      <c r="K268" s="10" t="s">
        <v>95</v>
      </c>
      <c r="L268" s="10" t="s">
        <v>100</v>
      </c>
      <c r="M268" s="16" t="str">
        <f aca="false">IFERROR(VLOOKUP(N268,Словарь!$A$2:$B$15,2,FALSE()),"Нужно решение")</f>
        <v>Не начато</v>
      </c>
      <c r="N268" s="10" t="s">
        <v>10</v>
      </c>
      <c r="O268" s="10"/>
      <c r="P268" s="22" t="n">
        <f aca="true">IF(AND(OR(M268="Не начато",M268="В работе",M268="Нужно решение"),C268&lt;TODAY()),TODAY()-C268,"")</f>
        <v>27</v>
      </c>
      <c r="Q268" s="10" t="s">
        <v>238</v>
      </c>
      <c r="R268" s="10" t="s">
        <v>487</v>
      </c>
      <c r="S268" s="10"/>
      <c r="T268" s="10"/>
      <c r="U268" s="10" t="n">
        <v>286</v>
      </c>
    </row>
    <row r="269" customFormat="false" ht="23.85" hidden="false" customHeight="false" outlineLevel="0" collapsed="false">
      <c r="A269" s="10" t="n">
        <v>268</v>
      </c>
      <c r="B269" s="10" t="s">
        <v>88</v>
      </c>
      <c r="C269" s="21" t="n">
        <v>46295</v>
      </c>
      <c r="D269" s="10" t="s">
        <v>380</v>
      </c>
      <c r="E269" s="10" t="s">
        <v>112</v>
      </c>
      <c r="F269" s="10" t="s">
        <v>725</v>
      </c>
      <c r="G269" s="10" t="s">
        <v>142</v>
      </c>
      <c r="H269" s="10" t="s">
        <v>726</v>
      </c>
      <c r="I269" s="9"/>
      <c r="J269" s="9"/>
      <c r="K269" s="10" t="s">
        <v>96</v>
      </c>
      <c r="L269" s="10" t="s">
        <v>101</v>
      </c>
      <c r="M269" s="16" t="str">
        <f aca="false">IFERROR(VLOOKUP(N269,Словарь!$A$2:$B$15,2,FALSE()),"Нужно решение")</f>
        <v>В работе</v>
      </c>
      <c r="N269" s="10" t="s">
        <v>505</v>
      </c>
      <c r="O269" s="10"/>
      <c r="P269" s="22" t="n">
        <f aca="true">IF(AND(OR(M269="Не начато",M269="В работе",M269="Нужно решение"),C269&lt;TODAY()),TODAY()-C269,"")</f>
        <v>27</v>
      </c>
      <c r="Q269" s="10" t="s">
        <v>238</v>
      </c>
      <c r="R269" s="10" t="s">
        <v>487</v>
      </c>
      <c r="S269" s="10"/>
      <c r="T269" s="10" t="s">
        <v>727</v>
      </c>
      <c r="U269" s="10" t="n">
        <v>287</v>
      </c>
    </row>
    <row r="270" customFormat="false" ht="23.85" hidden="false" customHeight="false" outlineLevel="0" collapsed="false">
      <c r="A270" s="10" t="n">
        <v>269</v>
      </c>
      <c r="B270" s="10" t="s">
        <v>88</v>
      </c>
      <c r="C270" s="21" t="n">
        <v>46295</v>
      </c>
      <c r="D270" s="10" t="s">
        <v>380</v>
      </c>
      <c r="E270" s="10" t="s">
        <v>112</v>
      </c>
      <c r="F270" s="10" t="s">
        <v>728</v>
      </c>
      <c r="G270" s="10" t="s">
        <v>188</v>
      </c>
      <c r="H270" s="10"/>
      <c r="I270" s="9"/>
      <c r="J270" s="9"/>
      <c r="K270" s="10" t="s">
        <v>96</v>
      </c>
      <c r="L270" s="10" t="s">
        <v>101</v>
      </c>
      <c r="M270" s="16" t="str">
        <f aca="false">IFERROR(VLOOKUP(N270,Словарь!$A$2:$B$15,2,FALSE()),"Нужно решение")</f>
        <v>Выполнено, ждёт акта</v>
      </c>
      <c r="N270" s="10" t="s">
        <v>150</v>
      </c>
      <c r="O270" s="10" t="s">
        <v>171</v>
      </c>
      <c r="P270" s="22" t="str">
        <f aca="true">IF(AND(OR(M270="Не начато",M270="В работе",M270="Нужно решение"),C270&lt;TODAY()),TODAY()-C270,"")</f>
        <v/>
      </c>
      <c r="Q270" s="10" t="s">
        <v>238</v>
      </c>
      <c r="R270" s="10" t="s">
        <v>487</v>
      </c>
      <c r="S270" s="10"/>
      <c r="T270" s="10" t="s">
        <v>495</v>
      </c>
      <c r="U270" s="10" t="n">
        <v>288</v>
      </c>
    </row>
    <row r="271" customFormat="false" ht="23.85" hidden="false" customHeight="false" outlineLevel="0" collapsed="false">
      <c r="A271" s="10" t="n">
        <v>270</v>
      </c>
      <c r="B271" s="10" t="s">
        <v>88</v>
      </c>
      <c r="C271" s="21" t="n">
        <v>46295</v>
      </c>
      <c r="D271" s="10" t="s">
        <v>386</v>
      </c>
      <c r="E271" s="10" t="s">
        <v>112</v>
      </c>
      <c r="F271" s="10" t="s">
        <v>729</v>
      </c>
      <c r="G271" s="10" t="s">
        <v>142</v>
      </c>
      <c r="H271" s="10" t="s">
        <v>730</v>
      </c>
      <c r="I271" s="9" t="n">
        <v>80000</v>
      </c>
      <c r="J271" s="9"/>
      <c r="K271" s="10" t="s">
        <v>95</v>
      </c>
      <c r="L271" s="10" t="s">
        <v>100</v>
      </c>
      <c r="M271" s="16" t="str">
        <f aca="false">IFERROR(VLOOKUP(N271,Словарь!$A$2:$B$15,2,FALSE()),"Нужно решение")</f>
        <v>Не начато</v>
      </c>
      <c r="N271" s="10" t="s">
        <v>10</v>
      </c>
      <c r="O271" s="10"/>
      <c r="P271" s="22" t="n">
        <f aca="true">IF(AND(OR(M271="Не начато",M271="В работе",M271="Нужно решение"),C271&lt;TODAY()),TODAY()-C271,"")</f>
        <v>27</v>
      </c>
      <c r="Q271" s="10" t="s">
        <v>238</v>
      </c>
      <c r="R271" s="10" t="s">
        <v>487</v>
      </c>
      <c r="S271" s="10"/>
      <c r="T271" s="10"/>
      <c r="U271" s="10" t="n">
        <v>290</v>
      </c>
    </row>
    <row r="272" customFormat="false" ht="23.85" hidden="false" customHeight="false" outlineLevel="0" collapsed="false">
      <c r="A272" s="10" t="n">
        <v>271</v>
      </c>
      <c r="B272" s="10" t="s">
        <v>88</v>
      </c>
      <c r="C272" s="21" t="n">
        <v>46295</v>
      </c>
      <c r="D272" s="10" t="s">
        <v>386</v>
      </c>
      <c r="E272" s="10" t="s">
        <v>112</v>
      </c>
      <c r="F272" s="10" t="s">
        <v>731</v>
      </c>
      <c r="G272" s="10" t="s">
        <v>174</v>
      </c>
      <c r="H272" s="10" t="s">
        <v>732</v>
      </c>
      <c r="I272" s="9"/>
      <c r="J272" s="9"/>
      <c r="K272" s="10" t="s">
        <v>95</v>
      </c>
      <c r="L272" s="10" t="s">
        <v>108</v>
      </c>
      <c r="M272" s="16" t="str">
        <f aca="false">IFERROR(VLOOKUP(N272,Словарь!$A$2:$B$15,2,FALSE()),"Нужно решение")</f>
        <v>Нужно решение</v>
      </c>
      <c r="N272" s="10" t="s">
        <v>541</v>
      </c>
      <c r="O272" s="10"/>
      <c r="P272" s="22" t="n">
        <f aca="true">IF(AND(OR(M272="Не начато",M272="В работе",M272="Нужно решение"),C272&lt;TODAY()),TODAY()-C272,"")</f>
        <v>27</v>
      </c>
      <c r="Q272" s="10" t="s">
        <v>238</v>
      </c>
      <c r="R272" s="10" t="s">
        <v>487</v>
      </c>
      <c r="S272" s="10" t="s">
        <v>733</v>
      </c>
      <c r="T272" s="10" t="s">
        <v>734</v>
      </c>
      <c r="U272" s="10" t="n">
        <v>292</v>
      </c>
    </row>
    <row r="273" customFormat="false" ht="23.85" hidden="false" customHeight="false" outlineLevel="0" collapsed="false">
      <c r="A273" s="10" t="n">
        <v>272</v>
      </c>
      <c r="B273" s="10" t="s">
        <v>88</v>
      </c>
      <c r="C273" s="21" t="n">
        <v>46295</v>
      </c>
      <c r="D273" s="10" t="s">
        <v>735</v>
      </c>
      <c r="E273" s="10" t="s">
        <v>112</v>
      </c>
      <c r="F273" s="10" t="s">
        <v>736</v>
      </c>
      <c r="G273" s="10" t="s">
        <v>188</v>
      </c>
      <c r="H273" s="10"/>
      <c r="I273" s="9"/>
      <c r="J273" s="9"/>
      <c r="K273" s="10" t="s">
        <v>96</v>
      </c>
      <c r="L273" s="10" t="s">
        <v>107</v>
      </c>
      <c r="M273" s="16" t="str">
        <f aca="false">IFERROR(VLOOKUP(N273,Словарь!$A$2:$B$15,2,FALSE()),"Нужно решение")</f>
        <v>Выполнено, ждёт акта</v>
      </c>
      <c r="N273" s="10" t="s">
        <v>150</v>
      </c>
      <c r="O273" s="10" t="s">
        <v>171</v>
      </c>
      <c r="P273" s="22" t="str">
        <f aca="true">IF(AND(OR(M273="Не начато",M273="В работе",M273="Нужно решение"),C273&lt;TODAY()),TODAY()-C273,"")</f>
        <v/>
      </c>
      <c r="Q273" s="10" t="s">
        <v>238</v>
      </c>
      <c r="R273" s="10" t="s">
        <v>487</v>
      </c>
      <c r="S273" s="10"/>
      <c r="T273" s="10" t="s">
        <v>495</v>
      </c>
      <c r="U273" s="10" t="n">
        <v>293</v>
      </c>
    </row>
    <row r="274" customFormat="false" ht="23.85" hidden="false" customHeight="false" outlineLevel="0" collapsed="false">
      <c r="A274" s="10" t="n">
        <v>273</v>
      </c>
      <c r="B274" s="10" t="s">
        <v>88</v>
      </c>
      <c r="C274" s="21" t="n">
        <v>46295</v>
      </c>
      <c r="D274" s="10" t="s">
        <v>735</v>
      </c>
      <c r="E274" s="10" t="s">
        <v>112</v>
      </c>
      <c r="F274" s="10" t="s">
        <v>737</v>
      </c>
      <c r="G274" s="10" t="s">
        <v>192</v>
      </c>
      <c r="H274" s="10" t="s">
        <v>738</v>
      </c>
      <c r="I274" s="9"/>
      <c r="J274" s="9"/>
      <c r="K274" s="10" t="s">
        <v>95</v>
      </c>
      <c r="L274" s="10" t="s">
        <v>107</v>
      </c>
      <c r="M274" s="16" t="str">
        <f aca="false">IFERROR(VLOOKUP(N274,Словарь!$A$2:$B$15,2,FALSE()),"Нужно решение")</f>
        <v>Не начато</v>
      </c>
      <c r="N274" s="10" t="s">
        <v>10</v>
      </c>
      <c r="O274" s="10"/>
      <c r="P274" s="22" t="n">
        <f aca="true">IF(AND(OR(M274="Не начато",M274="В работе",M274="Нужно решение"),C274&lt;TODAY()),TODAY()-C274,"")</f>
        <v>27</v>
      </c>
      <c r="Q274" s="10" t="s">
        <v>238</v>
      </c>
      <c r="R274" s="10" t="s">
        <v>487</v>
      </c>
      <c r="S274" s="10"/>
      <c r="T274" s="10"/>
      <c r="U274" s="10" t="n">
        <v>294</v>
      </c>
    </row>
    <row r="275" customFormat="false" ht="35.05" hidden="false" customHeight="false" outlineLevel="0" collapsed="false">
      <c r="A275" s="10" t="n">
        <v>274</v>
      </c>
      <c r="B275" s="10" t="s">
        <v>88</v>
      </c>
      <c r="C275" s="21" t="n">
        <v>46295</v>
      </c>
      <c r="D275" s="10" t="s">
        <v>739</v>
      </c>
      <c r="E275" s="10" t="s">
        <v>113</v>
      </c>
      <c r="F275" s="10" t="s">
        <v>740</v>
      </c>
      <c r="G275" s="10" t="s">
        <v>174</v>
      </c>
      <c r="H275" s="10" t="s">
        <v>741</v>
      </c>
      <c r="I275" s="9" t="n">
        <v>1076919.08</v>
      </c>
      <c r="J275" s="9"/>
      <c r="K275" s="10" t="s">
        <v>96</v>
      </c>
      <c r="L275" s="10" t="s">
        <v>101</v>
      </c>
      <c r="M275" s="16" t="str">
        <f aca="false">IFERROR(VLOOKUP(N275,Словарь!$A$2:$B$15,2,FALSE()),"Нужно решение")</f>
        <v>В работе</v>
      </c>
      <c r="N275" s="10" t="s">
        <v>13</v>
      </c>
      <c r="O275" s="10"/>
      <c r="P275" s="22" t="n">
        <f aca="true">IF(AND(OR(M275="Не начато",M275="В работе",M275="Нужно решение"),C275&lt;TODAY()),TODAY()-C275,"")</f>
        <v>27</v>
      </c>
      <c r="Q275" s="10" t="s">
        <v>238</v>
      </c>
      <c r="R275" s="10" t="s">
        <v>487</v>
      </c>
      <c r="S275" s="10"/>
      <c r="T275" s="10" t="s">
        <v>569</v>
      </c>
      <c r="U275" s="10" t="n">
        <v>298</v>
      </c>
    </row>
    <row r="276" customFormat="false" ht="23.85" hidden="false" customHeight="false" outlineLevel="0" collapsed="false">
      <c r="A276" s="10" t="n">
        <v>275</v>
      </c>
      <c r="B276" s="10" t="s">
        <v>88</v>
      </c>
      <c r="C276" s="21" t="n">
        <v>46295</v>
      </c>
      <c r="D276" s="10" t="s">
        <v>235</v>
      </c>
      <c r="E276" s="10" t="s">
        <v>112</v>
      </c>
      <c r="F276" s="10" t="s">
        <v>728</v>
      </c>
      <c r="G276" s="10" t="s">
        <v>188</v>
      </c>
      <c r="H276" s="10"/>
      <c r="I276" s="9"/>
      <c r="J276" s="9"/>
      <c r="K276" s="10" t="s">
        <v>96</v>
      </c>
      <c r="L276" s="10" t="s">
        <v>101</v>
      </c>
      <c r="M276" s="16" t="str">
        <f aca="false">IFERROR(VLOOKUP(N276,Словарь!$A$2:$B$15,2,FALSE()),"Нужно решение")</f>
        <v>Выполнено, ждёт акта</v>
      </c>
      <c r="N276" s="10" t="s">
        <v>150</v>
      </c>
      <c r="O276" s="10"/>
      <c r="P276" s="22" t="str">
        <f aca="true">IF(AND(OR(M276="Не начато",M276="В работе",M276="Нужно решение"),C276&lt;TODAY()),TODAY()-C276,"")</f>
        <v/>
      </c>
      <c r="Q276" s="10"/>
      <c r="R276" s="10"/>
      <c r="S276" s="10" t="s">
        <v>534</v>
      </c>
      <c r="T276" s="10" t="s">
        <v>495</v>
      </c>
      <c r="U276" s="10"/>
    </row>
    <row r="277" customFormat="false" ht="23.85" hidden="false" customHeight="false" outlineLevel="0" collapsed="false">
      <c r="A277" s="10" t="n">
        <v>276</v>
      </c>
      <c r="B277" s="10" t="s">
        <v>88</v>
      </c>
      <c r="C277" s="21" t="n">
        <v>46295</v>
      </c>
      <c r="D277" s="10" t="s">
        <v>742</v>
      </c>
      <c r="E277" s="10" t="s">
        <v>113</v>
      </c>
      <c r="F277" s="10" t="s">
        <v>728</v>
      </c>
      <c r="G277" s="10" t="s">
        <v>188</v>
      </c>
      <c r="H277" s="10"/>
      <c r="I277" s="9"/>
      <c r="J277" s="9"/>
      <c r="K277" s="10" t="s">
        <v>97</v>
      </c>
      <c r="L277" s="10" t="s">
        <v>100</v>
      </c>
      <c r="M277" s="16" t="str">
        <f aca="false">IFERROR(VLOOKUP(N277,Словарь!$A$2:$B$15,2,FALSE()),"Нужно решение")</f>
        <v>Не начато</v>
      </c>
      <c r="N277" s="10" t="s">
        <v>10</v>
      </c>
      <c r="O277" s="10"/>
      <c r="P277" s="22" t="n">
        <f aca="true">IF(AND(OR(M277="Не начато",M277="В работе",M277="Нужно решение"),C277&lt;TODAY()),TODAY()-C277,"")</f>
        <v>27</v>
      </c>
      <c r="Q277" s="10" t="s">
        <v>238</v>
      </c>
      <c r="R277" s="10" t="s">
        <v>487</v>
      </c>
      <c r="S277" s="10"/>
      <c r="T277" s="10"/>
      <c r="U277" s="10" t="n">
        <v>299</v>
      </c>
    </row>
    <row r="278" customFormat="false" ht="23.85" hidden="false" customHeight="false" outlineLevel="0" collapsed="false">
      <c r="A278" s="10" t="n">
        <v>277</v>
      </c>
      <c r="B278" s="10" t="s">
        <v>88</v>
      </c>
      <c r="C278" s="21" t="n">
        <v>46295</v>
      </c>
      <c r="D278" s="10" t="s">
        <v>240</v>
      </c>
      <c r="E278" s="10" t="s">
        <v>112</v>
      </c>
      <c r="F278" s="10" t="s">
        <v>743</v>
      </c>
      <c r="G278" s="10" t="s">
        <v>142</v>
      </c>
      <c r="H278" s="10" t="s">
        <v>744</v>
      </c>
      <c r="I278" s="9"/>
      <c r="J278" s="9"/>
      <c r="K278" s="10" t="s">
        <v>95</v>
      </c>
      <c r="L278" s="10" t="s">
        <v>103</v>
      </c>
      <c r="M278" s="16" t="str">
        <f aca="false">IFERROR(VLOOKUP(N278,Словарь!$A$2:$B$15,2,FALSE()),"Нужно решение")</f>
        <v>Нужно решение</v>
      </c>
      <c r="N278" s="10" t="s">
        <v>745</v>
      </c>
      <c r="O278" s="10"/>
      <c r="P278" s="22" t="n">
        <f aca="true">IF(AND(OR(M278="Не начато",M278="В работе",M278="Нужно решение"),C278&lt;TODAY()),TODAY()-C278,"")</f>
        <v>27</v>
      </c>
      <c r="Q278" s="10" t="s">
        <v>238</v>
      </c>
      <c r="R278" s="10" t="s">
        <v>487</v>
      </c>
      <c r="S278" s="10" t="s">
        <v>746</v>
      </c>
      <c r="T278" s="10" t="s">
        <v>747</v>
      </c>
      <c r="U278" s="10" t="n">
        <v>295</v>
      </c>
    </row>
    <row r="279" customFormat="false" ht="23.85" hidden="false" customHeight="false" outlineLevel="0" collapsed="false">
      <c r="A279" s="10" t="n">
        <v>278</v>
      </c>
      <c r="B279" s="10" t="s">
        <v>88</v>
      </c>
      <c r="C279" s="21" t="n">
        <v>46295</v>
      </c>
      <c r="D279" s="10" t="s">
        <v>240</v>
      </c>
      <c r="E279" s="10" t="s">
        <v>112</v>
      </c>
      <c r="F279" s="10" t="s">
        <v>748</v>
      </c>
      <c r="G279" s="10" t="s">
        <v>174</v>
      </c>
      <c r="H279" s="10" t="s">
        <v>749</v>
      </c>
      <c r="I279" s="9" t="n">
        <v>600000</v>
      </c>
      <c r="J279" s="9"/>
      <c r="K279" s="10" t="s">
        <v>96</v>
      </c>
      <c r="L279" s="10" t="s">
        <v>103</v>
      </c>
      <c r="M279" s="16" t="str">
        <f aca="false">IFERROR(VLOOKUP(N279,Словарь!$A$2:$B$15,2,FALSE()),"Нужно решение")</f>
        <v>Выполнено, ждёт акта</v>
      </c>
      <c r="N279" s="10" t="s">
        <v>150</v>
      </c>
      <c r="O279" s="10" t="s">
        <v>171</v>
      </c>
      <c r="P279" s="22" t="str">
        <f aca="true">IF(AND(OR(M279="Не начато",M279="В работе",M279="Нужно решение"),C279&lt;TODAY()),TODAY()-C279,"")</f>
        <v/>
      </c>
      <c r="Q279" s="10" t="s">
        <v>238</v>
      </c>
      <c r="R279" s="10" t="s">
        <v>487</v>
      </c>
      <c r="S279" s="10"/>
      <c r="T279" s="10" t="s">
        <v>495</v>
      </c>
      <c r="U279" s="10" t="n">
        <v>296</v>
      </c>
    </row>
    <row r="280" customFormat="false" ht="23.85" hidden="false" customHeight="false" outlineLevel="0" collapsed="false">
      <c r="A280" s="10" t="n">
        <v>279</v>
      </c>
      <c r="B280" s="10" t="s">
        <v>88</v>
      </c>
      <c r="C280" s="21" t="n">
        <v>46295</v>
      </c>
      <c r="D280" s="10" t="s">
        <v>240</v>
      </c>
      <c r="E280" s="10" t="s">
        <v>112</v>
      </c>
      <c r="F280" s="10" t="s">
        <v>750</v>
      </c>
      <c r="G280" s="10" t="s">
        <v>192</v>
      </c>
      <c r="H280" s="10" t="s">
        <v>566</v>
      </c>
      <c r="I280" s="9"/>
      <c r="J280" s="9"/>
      <c r="K280" s="10" t="s">
        <v>95</v>
      </c>
      <c r="L280" s="10" t="s">
        <v>103</v>
      </c>
      <c r="M280" s="16" t="str">
        <f aca="false">IFERROR(VLOOKUP(N280,Словарь!$A$2:$B$15,2,FALSE()),"Нужно решение")</f>
        <v>Не начато</v>
      </c>
      <c r="N280" s="10" t="s">
        <v>10</v>
      </c>
      <c r="O280" s="10"/>
      <c r="P280" s="22" t="n">
        <f aca="true">IF(AND(OR(M280="Не начато",M280="В работе",M280="Нужно решение"),C280&lt;TODAY()),TODAY()-C280,"")</f>
        <v>27</v>
      </c>
      <c r="Q280" s="10" t="s">
        <v>238</v>
      </c>
      <c r="R280" s="10" t="s">
        <v>487</v>
      </c>
      <c r="S280" s="10"/>
      <c r="T280" s="10"/>
      <c r="U280" s="10" t="n">
        <v>297</v>
      </c>
    </row>
    <row r="281" customFormat="false" ht="23.85" hidden="false" customHeight="false" outlineLevel="0" collapsed="false">
      <c r="A281" s="10" t="n">
        <v>280</v>
      </c>
      <c r="B281" s="10" t="s">
        <v>88</v>
      </c>
      <c r="C281" s="21" t="n">
        <v>46295</v>
      </c>
      <c r="D281" s="10" t="s">
        <v>751</v>
      </c>
      <c r="E281" s="10" t="s">
        <v>114</v>
      </c>
      <c r="F281" s="10" t="s">
        <v>752</v>
      </c>
      <c r="G281" s="10" t="s">
        <v>142</v>
      </c>
      <c r="H281" s="10"/>
      <c r="I281" s="9"/>
      <c r="J281" s="9"/>
      <c r="K281" s="10" t="s">
        <v>95</v>
      </c>
      <c r="L281" s="10" t="s">
        <v>100</v>
      </c>
      <c r="M281" s="16" t="str">
        <f aca="false">IFERROR(VLOOKUP(N281,Словарь!$A$2:$B$15,2,FALSE()),"Нужно решение")</f>
        <v>Не начато</v>
      </c>
      <c r="N281" s="10" t="s">
        <v>10</v>
      </c>
      <c r="O281" s="10"/>
      <c r="P281" s="22" t="n">
        <f aca="true">IF(AND(OR(M281="Не начато",M281="В работе",M281="Нужно решение"),C281&lt;TODAY()),TODAY()-C281,"")</f>
        <v>27</v>
      </c>
      <c r="Q281" s="10" t="s">
        <v>238</v>
      </c>
      <c r="R281" s="10" t="s">
        <v>487</v>
      </c>
      <c r="S281" s="10"/>
      <c r="T281" s="10"/>
      <c r="U281" s="10" t="n">
        <v>300</v>
      </c>
    </row>
    <row r="282" customFormat="false" ht="23.85" hidden="false" customHeight="false" outlineLevel="0" collapsed="false">
      <c r="A282" s="10" t="n">
        <v>281</v>
      </c>
      <c r="B282" s="10" t="s">
        <v>88</v>
      </c>
      <c r="C282" s="21" t="n">
        <v>46295</v>
      </c>
      <c r="D282" s="10" t="s">
        <v>753</v>
      </c>
      <c r="E282" s="10" t="s">
        <v>112</v>
      </c>
      <c r="F282" s="10" t="s">
        <v>754</v>
      </c>
      <c r="G282" s="10" t="s">
        <v>142</v>
      </c>
      <c r="H282" s="10" t="s">
        <v>755</v>
      </c>
      <c r="I282" s="9"/>
      <c r="J282" s="9"/>
      <c r="K282" s="10" t="s">
        <v>96</v>
      </c>
      <c r="L282" s="10" t="s">
        <v>105</v>
      </c>
      <c r="M282" s="16" t="str">
        <f aca="false">IFERROR(VLOOKUP(N282,Словарь!$A$2:$B$15,2,FALSE()),"Нужно решение")</f>
        <v>Выполнено, ждёт акта</v>
      </c>
      <c r="N282" s="10" t="s">
        <v>150</v>
      </c>
      <c r="O282" s="10" t="s">
        <v>171</v>
      </c>
      <c r="P282" s="22" t="str">
        <f aca="true">IF(AND(OR(M282="Не начато",M282="В работе",M282="Нужно решение"),C282&lt;TODAY()),TODAY()-C282,"")</f>
        <v/>
      </c>
      <c r="Q282" s="10" t="s">
        <v>238</v>
      </c>
      <c r="R282" s="10" t="s">
        <v>487</v>
      </c>
      <c r="S282" s="10"/>
      <c r="T282" s="10" t="s">
        <v>495</v>
      </c>
      <c r="U282" s="10" t="n">
        <v>301</v>
      </c>
    </row>
    <row r="283" customFormat="false" ht="23.85" hidden="false" customHeight="false" outlineLevel="0" collapsed="false">
      <c r="A283" s="10" t="n">
        <v>282</v>
      </c>
      <c r="B283" s="10" t="s">
        <v>88</v>
      </c>
      <c r="C283" s="21" t="n">
        <v>46295</v>
      </c>
      <c r="D283" s="10" t="s">
        <v>756</v>
      </c>
      <c r="E283" s="10" t="s">
        <v>112</v>
      </c>
      <c r="F283" s="10" t="s">
        <v>406</v>
      </c>
      <c r="G283" s="10" t="s">
        <v>136</v>
      </c>
      <c r="H283" s="10"/>
      <c r="I283" s="9" t="n">
        <v>125000</v>
      </c>
      <c r="J283" s="9"/>
      <c r="K283" s="10" t="s">
        <v>96</v>
      </c>
      <c r="L283" s="10" t="s">
        <v>105</v>
      </c>
      <c r="M283" s="16" t="str">
        <f aca="false">IFERROR(VLOOKUP(N283,Словарь!$A$2:$B$15,2,FALSE()),"Нужно решение")</f>
        <v>Выполнено, ждёт акта</v>
      </c>
      <c r="N283" s="10" t="s">
        <v>150</v>
      </c>
      <c r="O283" s="10" t="s">
        <v>171</v>
      </c>
      <c r="P283" s="22" t="str">
        <f aca="true">IF(AND(OR(M283="Не начато",M283="В работе",M283="Нужно решение"),C283&lt;TODAY()),TODAY()-C283,"")</f>
        <v/>
      </c>
      <c r="Q283" s="10" t="s">
        <v>238</v>
      </c>
      <c r="R283" s="10" t="s">
        <v>487</v>
      </c>
      <c r="S283" s="10"/>
      <c r="T283" s="10" t="s">
        <v>495</v>
      </c>
      <c r="U283" s="10" t="n">
        <v>307</v>
      </c>
    </row>
    <row r="284" customFormat="false" ht="23.85" hidden="false" customHeight="false" outlineLevel="0" collapsed="false">
      <c r="A284" s="10" t="n">
        <v>283</v>
      </c>
      <c r="B284" s="10" t="s">
        <v>88</v>
      </c>
      <c r="C284" s="21" t="n">
        <v>46295</v>
      </c>
      <c r="D284" s="10" t="s">
        <v>757</v>
      </c>
      <c r="E284" s="10" t="s">
        <v>112</v>
      </c>
      <c r="F284" s="10" t="s">
        <v>758</v>
      </c>
      <c r="G284" s="10" t="s">
        <v>188</v>
      </c>
      <c r="H284" s="10" t="s">
        <v>759</v>
      </c>
      <c r="I284" s="9"/>
      <c r="J284" s="9"/>
      <c r="K284" s="10" t="s">
        <v>95</v>
      </c>
      <c r="L284" s="10" t="s">
        <v>100</v>
      </c>
      <c r="M284" s="16" t="str">
        <f aca="false">IFERROR(VLOOKUP(N284,Словарь!$A$2:$B$15,2,FALSE()),"Нужно решение")</f>
        <v>Не начато</v>
      </c>
      <c r="N284" s="10" t="s">
        <v>10</v>
      </c>
      <c r="O284" s="10"/>
      <c r="P284" s="22" t="n">
        <f aca="true">IF(AND(OR(M284="Не начато",M284="В работе",M284="Нужно решение"),C284&lt;TODAY()),TODAY()-C284,"")</f>
        <v>27</v>
      </c>
      <c r="Q284" s="10" t="s">
        <v>238</v>
      </c>
      <c r="R284" s="10" t="s">
        <v>487</v>
      </c>
      <c r="S284" s="10"/>
      <c r="T284" s="10"/>
      <c r="U284" s="10" t="n">
        <v>308</v>
      </c>
    </row>
    <row r="285" customFormat="false" ht="23.85" hidden="false" customHeight="false" outlineLevel="0" collapsed="false">
      <c r="A285" s="10" t="n">
        <v>284</v>
      </c>
      <c r="B285" s="10" t="s">
        <v>88</v>
      </c>
      <c r="C285" s="21" t="n">
        <v>46295</v>
      </c>
      <c r="D285" s="10" t="s">
        <v>760</v>
      </c>
      <c r="E285" s="10" t="s">
        <v>112</v>
      </c>
      <c r="F285" s="10" t="s">
        <v>761</v>
      </c>
      <c r="G285" s="10" t="s">
        <v>142</v>
      </c>
      <c r="H285" s="10" t="s">
        <v>762</v>
      </c>
      <c r="I285" s="9" t="n">
        <v>186217.79</v>
      </c>
      <c r="J285" s="9" t="n">
        <v>186217.79</v>
      </c>
      <c r="K285" s="10" t="s">
        <v>96</v>
      </c>
      <c r="L285" s="10" t="s">
        <v>107</v>
      </c>
      <c r="M285" s="16" t="str">
        <f aca="false">IFERROR(VLOOKUP(N285,Словарь!$A$2:$B$15,2,FALSE()),"Нужно решение")</f>
        <v>Принято с актом</v>
      </c>
      <c r="N285" s="10" t="s">
        <v>138</v>
      </c>
      <c r="O285" s="10" t="s">
        <v>155</v>
      </c>
      <c r="P285" s="22" t="str">
        <f aca="true">IF(AND(OR(M285="Не начато",M285="В работе",M285="Нужно решение"),C285&lt;TODAY()),TODAY()-C285,"")</f>
        <v/>
      </c>
      <c r="Q285" s="10" t="s">
        <v>143</v>
      </c>
      <c r="R285" s="10" t="s">
        <v>722</v>
      </c>
      <c r="S285" s="10"/>
      <c r="T285" s="10" t="s">
        <v>763</v>
      </c>
      <c r="U285" s="10" t="n">
        <v>309</v>
      </c>
    </row>
    <row r="286" customFormat="false" ht="35.05" hidden="false" customHeight="false" outlineLevel="0" collapsed="false">
      <c r="A286" s="10" t="n">
        <v>285</v>
      </c>
      <c r="B286" s="10" t="s">
        <v>88</v>
      </c>
      <c r="C286" s="21" t="n">
        <v>46295</v>
      </c>
      <c r="D286" s="10" t="s">
        <v>156</v>
      </c>
      <c r="E286" s="10" t="s">
        <v>112</v>
      </c>
      <c r="F286" s="10" t="s">
        <v>392</v>
      </c>
      <c r="G286" s="10" t="s">
        <v>142</v>
      </c>
      <c r="H286" s="10" t="s">
        <v>764</v>
      </c>
      <c r="I286" s="9" t="n">
        <v>200000</v>
      </c>
      <c r="J286" s="9"/>
      <c r="K286" s="10" t="s">
        <v>96</v>
      </c>
      <c r="L286" s="10" t="s">
        <v>105</v>
      </c>
      <c r="M286" s="16" t="str">
        <f aca="false">IFERROR(VLOOKUP(N286,Словарь!$A$2:$B$15,2,FALSE()),"Нужно решение")</f>
        <v>В работе</v>
      </c>
      <c r="N286" s="10" t="s">
        <v>13</v>
      </c>
      <c r="O286" s="10"/>
      <c r="P286" s="22" t="n">
        <f aca="true">IF(AND(OR(M286="Не начато",M286="В работе",M286="Нужно решение"),C286&lt;TODAY()),TODAY()-C286,"")</f>
        <v>27</v>
      </c>
      <c r="Q286" s="10" t="s">
        <v>238</v>
      </c>
      <c r="R286" s="10" t="s">
        <v>487</v>
      </c>
      <c r="S286" s="10"/>
      <c r="T286" s="10" t="s">
        <v>569</v>
      </c>
      <c r="U286" s="10" t="n">
        <v>306</v>
      </c>
    </row>
    <row r="287" customFormat="false" ht="35.05" hidden="false" customHeight="false" outlineLevel="0" collapsed="false">
      <c r="A287" s="10" t="n">
        <v>286</v>
      </c>
      <c r="B287" s="10" t="s">
        <v>88</v>
      </c>
      <c r="C287" s="21" t="n">
        <v>46295</v>
      </c>
      <c r="D287" s="10" t="s">
        <v>765</v>
      </c>
      <c r="E287" s="10" t="s">
        <v>113</v>
      </c>
      <c r="F287" s="10" t="s">
        <v>406</v>
      </c>
      <c r="G287" s="10" t="s">
        <v>136</v>
      </c>
      <c r="H287" s="10"/>
      <c r="I287" s="9" t="n">
        <v>125000</v>
      </c>
      <c r="J287" s="9"/>
      <c r="K287" s="10" t="s">
        <v>96</v>
      </c>
      <c r="L287" s="10" t="s">
        <v>107</v>
      </c>
      <c r="M287" s="16" t="str">
        <f aca="false">IFERROR(VLOOKUP(N287,Словарь!$A$2:$B$15,2,FALSE()),"Нужно решение")</f>
        <v>Выполнено, ждёт акта</v>
      </c>
      <c r="N287" s="10" t="s">
        <v>150</v>
      </c>
      <c r="O287" s="10" t="s">
        <v>491</v>
      </c>
      <c r="P287" s="22" t="str">
        <f aca="true">IF(AND(OR(M287="Не начато",M287="В работе",M287="Нужно решение"),C287&lt;TODAY()),TODAY()-C287,"")</f>
        <v/>
      </c>
      <c r="Q287" s="10" t="s">
        <v>238</v>
      </c>
      <c r="R287" s="10" t="s">
        <v>487</v>
      </c>
      <c r="S287" s="10"/>
      <c r="T287" s="10" t="s">
        <v>766</v>
      </c>
      <c r="U287" s="10" t="n">
        <v>310</v>
      </c>
    </row>
    <row r="288" customFormat="false" ht="23.85" hidden="false" customHeight="false" outlineLevel="0" collapsed="false">
      <c r="A288" s="10" t="n">
        <v>287</v>
      </c>
      <c r="B288" s="10" t="s">
        <v>88</v>
      </c>
      <c r="C288" s="21" t="n">
        <v>46295</v>
      </c>
      <c r="D288" s="10" t="s">
        <v>767</v>
      </c>
      <c r="E288" s="10" t="s">
        <v>112</v>
      </c>
      <c r="F288" s="10" t="s">
        <v>406</v>
      </c>
      <c r="G288" s="10" t="s">
        <v>136</v>
      </c>
      <c r="H288" s="10"/>
      <c r="I288" s="9" t="n">
        <v>125000</v>
      </c>
      <c r="J288" s="9"/>
      <c r="K288" s="10" t="s">
        <v>96</v>
      </c>
      <c r="L288" s="10" t="s">
        <v>107</v>
      </c>
      <c r="M288" s="16" t="str">
        <f aca="false">IFERROR(VLOOKUP(N288,Словарь!$A$2:$B$15,2,FALSE()),"Нужно решение")</f>
        <v>Выполнено, ждёт акта</v>
      </c>
      <c r="N288" s="10" t="s">
        <v>150</v>
      </c>
      <c r="O288" s="10" t="s">
        <v>151</v>
      </c>
      <c r="P288" s="22" t="str">
        <f aca="true">IF(AND(OR(M288="Не начато",M288="В работе",M288="Нужно решение"),C288&lt;TODAY()),TODAY()-C288,"")</f>
        <v/>
      </c>
      <c r="Q288" s="10" t="s">
        <v>238</v>
      </c>
      <c r="R288" s="10" t="s">
        <v>487</v>
      </c>
      <c r="S288" s="10"/>
      <c r="T288" s="10" t="s">
        <v>768</v>
      </c>
      <c r="U288" s="10" t="n">
        <v>311</v>
      </c>
    </row>
    <row r="289" customFormat="false" ht="35.05" hidden="false" customHeight="false" outlineLevel="0" collapsed="false">
      <c r="A289" s="10" t="n">
        <v>288</v>
      </c>
      <c r="B289" s="10" t="s">
        <v>88</v>
      </c>
      <c r="C289" s="21" t="n">
        <v>46295</v>
      </c>
      <c r="D289" s="10" t="s">
        <v>767</v>
      </c>
      <c r="E289" s="10" t="s">
        <v>112</v>
      </c>
      <c r="F289" s="10" t="s">
        <v>769</v>
      </c>
      <c r="G289" s="10" t="s">
        <v>188</v>
      </c>
      <c r="H289" s="10" t="s">
        <v>770</v>
      </c>
      <c r="I289" s="9" t="n">
        <v>200000</v>
      </c>
      <c r="J289" s="9" t="n">
        <v>177333.87</v>
      </c>
      <c r="K289" s="10" t="s">
        <v>96</v>
      </c>
      <c r="L289" s="10" t="s">
        <v>107</v>
      </c>
      <c r="M289" s="16" t="str">
        <f aca="false">IFERROR(VLOOKUP(N289,Словарь!$A$2:$B$15,2,FALSE()),"Нужно решение")</f>
        <v>Принято с актом</v>
      </c>
      <c r="N289" s="10" t="s">
        <v>138</v>
      </c>
      <c r="O289" s="10" t="s">
        <v>155</v>
      </c>
      <c r="P289" s="22" t="str">
        <f aca="true">IF(AND(OR(M289="Не начато",M289="В работе",M289="Нужно решение"),C289&lt;TODAY()),TODAY()-C289,"")</f>
        <v/>
      </c>
      <c r="Q289" s="10" t="s">
        <v>143</v>
      </c>
      <c r="R289" s="10" t="s">
        <v>722</v>
      </c>
      <c r="S289" s="10"/>
      <c r="T289" s="10" t="s">
        <v>763</v>
      </c>
      <c r="U289" s="10" t="n">
        <v>312</v>
      </c>
    </row>
    <row r="290" customFormat="false" ht="23.85" hidden="false" customHeight="false" outlineLevel="0" collapsed="false">
      <c r="A290" s="10" t="n">
        <v>289</v>
      </c>
      <c r="B290" s="10" t="s">
        <v>88</v>
      </c>
      <c r="C290" s="21" t="n">
        <v>46295</v>
      </c>
      <c r="D290" s="10" t="s">
        <v>767</v>
      </c>
      <c r="E290" s="10" t="s">
        <v>112</v>
      </c>
      <c r="F290" s="10" t="s">
        <v>771</v>
      </c>
      <c r="G290" s="10" t="s">
        <v>188</v>
      </c>
      <c r="H290" s="10" t="s">
        <v>772</v>
      </c>
      <c r="I290" s="9" t="n">
        <v>177333.87</v>
      </c>
      <c r="J290" s="9" t="n">
        <v>177333.87</v>
      </c>
      <c r="K290" s="10" t="s">
        <v>96</v>
      </c>
      <c r="L290" s="10" t="s">
        <v>107</v>
      </c>
      <c r="M290" s="16" t="str">
        <f aca="false">IFERROR(VLOOKUP(N290,Словарь!$A$2:$B$15,2,FALSE()),"Нужно решение")</f>
        <v>Принято с актом</v>
      </c>
      <c r="N290" s="10" t="s">
        <v>138</v>
      </c>
      <c r="O290" s="10" t="s">
        <v>155</v>
      </c>
      <c r="P290" s="22" t="str">
        <f aca="true">IF(AND(OR(M290="Не начато",M290="В работе",M290="Нужно решение"),C290&lt;TODAY()),TODAY()-C290,"")</f>
        <v/>
      </c>
      <c r="Q290" s="10" t="s">
        <v>143</v>
      </c>
      <c r="R290" s="10" t="s">
        <v>722</v>
      </c>
      <c r="S290" s="10"/>
      <c r="T290" s="10" t="s">
        <v>763</v>
      </c>
      <c r="U290" s="10" t="n">
        <v>313</v>
      </c>
    </row>
    <row r="291" customFormat="false" ht="35.05" hidden="false" customHeight="false" outlineLevel="0" collapsed="false">
      <c r="A291" s="10" t="n">
        <v>290</v>
      </c>
      <c r="B291" s="10" t="s">
        <v>88</v>
      </c>
      <c r="C291" s="21" t="n">
        <v>46295</v>
      </c>
      <c r="D291" s="10" t="s">
        <v>773</v>
      </c>
      <c r="E291" s="10" t="s">
        <v>112</v>
      </c>
      <c r="F291" s="10" t="s">
        <v>406</v>
      </c>
      <c r="G291" s="10" t="s">
        <v>136</v>
      </c>
      <c r="H291" s="10"/>
      <c r="I291" s="9" t="n">
        <v>125000</v>
      </c>
      <c r="J291" s="9"/>
      <c r="K291" s="10" t="s">
        <v>96</v>
      </c>
      <c r="L291" s="10" t="s">
        <v>107</v>
      </c>
      <c r="M291" s="16" t="str">
        <f aca="false">IFERROR(VLOOKUP(N291,Словарь!$A$2:$B$15,2,FALSE()),"Нужно решение")</f>
        <v>Выполнено, ждёт акта</v>
      </c>
      <c r="N291" s="10" t="s">
        <v>150</v>
      </c>
      <c r="O291" s="10" t="s">
        <v>491</v>
      </c>
      <c r="P291" s="22" t="str">
        <f aca="true">IF(AND(OR(M291="Не начато",M291="В работе",M291="Нужно решение"),C291&lt;TODAY()),TODAY()-C291,"")</f>
        <v/>
      </c>
      <c r="Q291" s="10" t="s">
        <v>238</v>
      </c>
      <c r="R291" s="10" t="s">
        <v>487</v>
      </c>
      <c r="S291" s="10"/>
      <c r="T291" s="10" t="s">
        <v>766</v>
      </c>
      <c r="U291" s="10" t="n">
        <v>314</v>
      </c>
    </row>
    <row r="292" customFormat="false" ht="23.85" hidden="false" customHeight="false" outlineLevel="0" collapsed="false">
      <c r="A292" s="10" t="n">
        <v>291</v>
      </c>
      <c r="B292" s="10" t="s">
        <v>88</v>
      </c>
      <c r="C292" s="21" t="n">
        <v>46295</v>
      </c>
      <c r="D292" s="10" t="s">
        <v>773</v>
      </c>
      <c r="E292" s="10" t="s">
        <v>112</v>
      </c>
      <c r="F292" s="10" t="s">
        <v>774</v>
      </c>
      <c r="G292" s="10" t="s">
        <v>245</v>
      </c>
      <c r="H292" s="10" t="s">
        <v>775</v>
      </c>
      <c r="I292" s="9" t="n">
        <v>21003</v>
      </c>
      <c r="J292" s="9" t="n">
        <v>21003</v>
      </c>
      <c r="K292" s="10" t="s">
        <v>95</v>
      </c>
      <c r="L292" s="10" t="s">
        <v>107</v>
      </c>
      <c r="M292" s="16" t="str">
        <f aca="false">IFERROR(VLOOKUP(N292,Словарь!$A$2:$B$15,2,FALSE()),"Нужно решение")</f>
        <v>Принято с актом</v>
      </c>
      <c r="N292" s="10" t="s">
        <v>138</v>
      </c>
      <c r="O292" s="10" t="s">
        <v>155</v>
      </c>
      <c r="P292" s="22" t="str">
        <f aca="true">IF(AND(OR(M292="Не начато",M292="В работе",M292="Нужно решение"),C292&lt;TODAY()),TODAY()-C292,"")</f>
        <v/>
      </c>
      <c r="Q292" s="10" t="s">
        <v>143</v>
      </c>
      <c r="R292" s="10" t="s">
        <v>722</v>
      </c>
      <c r="S292" s="10"/>
      <c r="T292" s="10" t="s">
        <v>763</v>
      </c>
      <c r="U292" s="10" t="n">
        <v>315</v>
      </c>
    </row>
    <row r="293" customFormat="false" ht="35.05" hidden="false" customHeight="false" outlineLevel="0" collapsed="false">
      <c r="A293" s="10" t="n">
        <v>292</v>
      </c>
      <c r="B293" s="10" t="s">
        <v>88</v>
      </c>
      <c r="C293" s="21" t="n">
        <v>46295</v>
      </c>
      <c r="D293" s="10" t="s">
        <v>776</v>
      </c>
      <c r="E293" s="10" t="s">
        <v>112</v>
      </c>
      <c r="F293" s="10" t="s">
        <v>406</v>
      </c>
      <c r="G293" s="10" t="s">
        <v>136</v>
      </c>
      <c r="H293" s="10"/>
      <c r="I293" s="9" t="n">
        <v>125000</v>
      </c>
      <c r="J293" s="9"/>
      <c r="K293" s="10" t="s">
        <v>96</v>
      </c>
      <c r="L293" s="10" t="s">
        <v>107</v>
      </c>
      <c r="M293" s="16" t="str">
        <f aca="false">IFERROR(VLOOKUP(N293,Словарь!$A$2:$B$15,2,FALSE()),"Нужно решение")</f>
        <v>Выполнено, ждёт акта</v>
      </c>
      <c r="N293" s="10" t="s">
        <v>150</v>
      </c>
      <c r="O293" s="10" t="s">
        <v>491</v>
      </c>
      <c r="P293" s="22" t="str">
        <f aca="true">IF(AND(OR(M293="Не начато",M293="В работе",M293="Нужно решение"),C293&lt;TODAY()),TODAY()-C293,"")</f>
        <v/>
      </c>
      <c r="Q293" s="10" t="s">
        <v>238</v>
      </c>
      <c r="R293" s="10" t="s">
        <v>487</v>
      </c>
      <c r="S293" s="10"/>
      <c r="T293" s="10" t="s">
        <v>766</v>
      </c>
      <c r="U293" s="10" t="n">
        <v>316</v>
      </c>
    </row>
    <row r="294" customFormat="false" ht="23.85" hidden="false" customHeight="false" outlineLevel="0" collapsed="false">
      <c r="A294" s="10" t="n">
        <v>293</v>
      </c>
      <c r="B294" s="10" t="s">
        <v>88</v>
      </c>
      <c r="C294" s="21" t="n">
        <v>46295</v>
      </c>
      <c r="D294" s="10" t="s">
        <v>777</v>
      </c>
      <c r="E294" s="10" t="s">
        <v>112</v>
      </c>
      <c r="F294" s="10" t="s">
        <v>406</v>
      </c>
      <c r="G294" s="10" t="s">
        <v>136</v>
      </c>
      <c r="H294" s="10"/>
      <c r="I294" s="9" t="n">
        <v>125000</v>
      </c>
      <c r="J294" s="9"/>
      <c r="K294" s="10" t="s">
        <v>96</v>
      </c>
      <c r="L294" s="10" t="s">
        <v>107</v>
      </c>
      <c r="M294" s="16" t="str">
        <f aca="false">IFERROR(VLOOKUP(N294,Словарь!$A$2:$B$15,2,FALSE()),"Нужно решение")</f>
        <v>Выполнено, ждёт акта</v>
      </c>
      <c r="N294" s="10" t="s">
        <v>150</v>
      </c>
      <c r="O294" s="10" t="s">
        <v>151</v>
      </c>
      <c r="P294" s="22" t="str">
        <f aca="true">IF(AND(OR(M294="Не начато",M294="В работе",M294="Нужно решение"),C294&lt;TODAY()),TODAY()-C294,"")</f>
        <v/>
      </c>
      <c r="Q294" s="10" t="s">
        <v>238</v>
      </c>
      <c r="R294" s="10" t="s">
        <v>487</v>
      </c>
      <c r="S294" s="10"/>
      <c r="T294" s="10" t="s">
        <v>768</v>
      </c>
      <c r="U294" s="10" t="n">
        <v>317</v>
      </c>
    </row>
    <row r="295" customFormat="false" ht="23.85" hidden="false" customHeight="false" outlineLevel="0" collapsed="false">
      <c r="A295" s="10" t="n">
        <v>294</v>
      </c>
      <c r="B295" s="10" t="s">
        <v>88</v>
      </c>
      <c r="C295" s="21" t="n">
        <v>46295</v>
      </c>
      <c r="D295" s="10" t="s">
        <v>778</v>
      </c>
      <c r="E295" s="10" t="s">
        <v>112</v>
      </c>
      <c r="F295" s="10" t="s">
        <v>779</v>
      </c>
      <c r="G295" s="10" t="s">
        <v>192</v>
      </c>
      <c r="H295" s="10" t="s">
        <v>780</v>
      </c>
      <c r="I295" s="9" t="n">
        <v>75000</v>
      </c>
      <c r="J295" s="9"/>
      <c r="K295" s="10" t="s">
        <v>95</v>
      </c>
      <c r="L295" s="10" t="s">
        <v>107</v>
      </c>
      <c r="M295" s="16" t="str">
        <f aca="false">IFERROR(VLOOKUP(N295,Словарь!$A$2:$B$15,2,FALSE()),"Нужно решение")</f>
        <v>Не начато</v>
      </c>
      <c r="N295" s="10" t="s">
        <v>10</v>
      </c>
      <c r="O295" s="10"/>
      <c r="P295" s="22" t="n">
        <f aca="true">IF(AND(OR(M295="Не начато",M295="В работе",M295="Нужно решение"),C295&lt;TODAY()),TODAY()-C295,"")</f>
        <v>27</v>
      </c>
      <c r="Q295" s="10" t="s">
        <v>238</v>
      </c>
      <c r="R295" s="10" t="s">
        <v>487</v>
      </c>
      <c r="S295" s="10"/>
      <c r="T295" s="10"/>
      <c r="U295" s="10" t="n">
        <v>318</v>
      </c>
    </row>
    <row r="296" customFormat="false" ht="35.05" hidden="false" customHeight="false" outlineLevel="0" collapsed="false">
      <c r="A296" s="10" t="n">
        <v>295</v>
      </c>
      <c r="B296" s="10" t="s">
        <v>88</v>
      </c>
      <c r="C296" s="21" t="n">
        <v>46295</v>
      </c>
      <c r="D296" s="10" t="s">
        <v>778</v>
      </c>
      <c r="E296" s="10" t="s">
        <v>112</v>
      </c>
      <c r="F296" s="10" t="s">
        <v>406</v>
      </c>
      <c r="G296" s="10" t="s">
        <v>136</v>
      </c>
      <c r="H296" s="10"/>
      <c r="I296" s="9" t="n">
        <v>125000</v>
      </c>
      <c r="J296" s="9"/>
      <c r="K296" s="10" t="s">
        <v>96</v>
      </c>
      <c r="L296" s="10" t="s">
        <v>107</v>
      </c>
      <c r="M296" s="16" t="str">
        <f aca="false">IFERROR(VLOOKUP(N296,Словарь!$A$2:$B$15,2,FALSE()),"Нужно решение")</f>
        <v>Выполнено, ждёт акта</v>
      </c>
      <c r="N296" s="10" t="s">
        <v>150</v>
      </c>
      <c r="O296" s="10" t="s">
        <v>491</v>
      </c>
      <c r="P296" s="22" t="str">
        <f aca="true">IF(AND(OR(M296="Не начато",M296="В работе",M296="Нужно решение"),C296&lt;TODAY()),TODAY()-C296,"")</f>
        <v/>
      </c>
      <c r="Q296" s="10" t="s">
        <v>238</v>
      </c>
      <c r="R296" s="10" t="s">
        <v>487</v>
      </c>
      <c r="S296" s="10"/>
      <c r="T296" s="10" t="s">
        <v>766</v>
      </c>
      <c r="U296" s="10" t="n">
        <v>320</v>
      </c>
    </row>
    <row r="297" customFormat="false" ht="35.05" hidden="false" customHeight="false" outlineLevel="0" collapsed="false">
      <c r="A297" s="10" t="n">
        <v>296</v>
      </c>
      <c r="B297" s="10" t="s">
        <v>88</v>
      </c>
      <c r="C297" s="21" t="n">
        <v>46295</v>
      </c>
      <c r="D297" s="10" t="s">
        <v>306</v>
      </c>
      <c r="E297" s="10" t="s">
        <v>112</v>
      </c>
      <c r="F297" s="10" t="s">
        <v>406</v>
      </c>
      <c r="G297" s="10" t="s">
        <v>136</v>
      </c>
      <c r="H297" s="10"/>
      <c r="I297" s="9" t="n">
        <v>125000</v>
      </c>
      <c r="J297" s="9"/>
      <c r="K297" s="10" t="s">
        <v>96</v>
      </c>
      <c r="L297" s="10" t="s">
        <v>107</v>
      </c>
      <c r="M297" s="16" t="str">
        <f aca="false">IFERROR(VLOOKUP(N297,Словарь!$A$2:$B$15,2,FALSE()),"Нужно решение")</f>
        <v>Выполнено, ждёт акта</v>
      </c>
      <c r="N297" s="10" t="s">
        <v>150</v>
      </c>
      <c r="O297" s="10" t="s">
        <v>151</v>
      </c>
      <c r="P297" s="22" t="str">
        <f aca="true">IF(AND(OR(M297="Не начато",M297="В работе",M297="Нужно решение"),C297&lt;TODAY()),TODAY()-C297,"")</f>
        <v/>
      </c>
      <c r="Q297" s="10" t="s">
        <v>238</v>
      </c>
      <c r="R297" s="10" t="s">
        <v>487</v>
      </c>
      <c r="S297" s="10"/>
      <c r="T297" s="10" t="s">
        <v>781</v>
      </c>
      <c r="U297" s="10" t="n">
        <v>319</v>
      </c>
    </row>
    <row r="298" customFormat="false" ht="23.85" hidden="false" customHeight="false" outlineLevel="0" collapsed="false">
      <c r="A298" s="10" t="n">
        <v>297</v>
      </c>
      <c r="B298" s="10" t="s">
        <v>88</v>
      </c>
      <c r="C298" s="21" t="n">
        <v>46295</v>
      </c>
      <c r="D298" s="10" t="s">
        <v>306</v>
      </c>
      <c r="E298" s="10" t="s">
        <v>112</v>
      </c>
      <c r="F298" s="10" t="s">
        <v>782</v>
      </c>
      <c r="G298" s="10" t="s">
        <v>192</v>
      </c>
      <c r="H298" s="10" t="s">
        <v>783</v>
      </c>
      <c r="I298" s="9"/>
      <c r="J298" s="9"/>
      <c r="K298" s="10" t="s">
        <v>95</v>
      </c>
      <c r="L298" s="10" t="s">
        <v>107</v>
      </c>
      <c r="M298" s="16" t="str">
        <f aca="false">IFERROR(VLOOKUP(N298,Словарь!$A$2:$B$15,2,FALSE()),"Нужно решение")</f>
        <v>Выполнено, ждёт акта</v>
      </c>
      <c r="N298" s="10" t="s">
        <v>150</v>
      </c>
      <c r="O298" s="10"/>
      <c r="P298" s="22" t="str">
        <f aca="true">IF(AND(OR(M298="Не начато",M298="В работе",M298="Нужно решение"),C298&lt;TODAY()),TODAY()-C298,"")</f>
        <v/>
      </c>
      <c r="Q298" s="10" t="s">
        <v>238</v>
      </c>
      <c r="R298" s="10" t="s">
        <v>487</v>
      </c>
      <c r="S298" s="10"/>
      <c r="T298" s="10" t="s">
        <v>319</v>
      </c>
      <c r="U298" s="10" t="n">
        <v>321</v>
      </c>
    </row>
    <row r="299" customFormat="false" ht="23.85" hidden="false" customHeight="false" outlineLevel="0" collapsed="false">
      <c r="A299" s="10" t="n">
        <v>298</v>
      </c>
      <c r="B299" s="10" t="s">
        <v>88</v>
      </c>
      <c r="C299" s="21" t="n">
        <v>46295</v>
      </c>
      <c r="D299" s="10" t="s">
        <v>306</v>
      </c>
      <c r="E299" s="10" t="s">
        <v>112</v>
      </c>
      <c r="F299" s="10" t="s">
        <v>784</v>
      </c>
      <c r="G299" s="10" t="s">
        <v>188</v>
      </c>
      <c r="H299" s="10" t="s">
        <v>785</v>
      </c>
      <c r="I299" s="9"/>
      <c r="J299" s="9"/>
      <c r="K299" s="10" t="s">
        <v>96</v>
      </c>
      <c r="L299" s="10" t="s">
        <v>107</v>
      </c>
      <c r="M299" s="16" t="str">
        <f aca="false">IFERROR(VLOOKUP(N299,Словарь!$A$2:$B$15,2,FALSE()),"Нужно решение")</f>
        <v>Выполнено, ждёт акта</v>
      </c>
      <c r="N299" s="10" t="s">
        <v>150</v>
      </c>
      <c r="O299" s="10" t="s">
        <v>151</v>
      </c>
      <c r="P299" s="22" t="str">
        <f aca="true">IF(AND(OR(M299="Не начато",M299="В работе",M299="Нужно решение"),C299&lt;TODAY()),TODAY()-C299,"")</f>
        <v/>
      </c>
      <c r="Q299" s="10" t="s">
        <v>238</v>
      </c>
      <c r="R299" s="10" t="s">
        <v>487</v>
      </c>
      <c r="S299" s="10"/>
      <c r="T299" s="10" t="s">
        <v>495</v>
      </c>
      <c r="U299" s="10" t="n">
        <v>322</v>
      </c>
    </row>
    <row r="300" customFormat="false" ht="23.85" hidden="false" customHeight="false" outlineLevel="0" collapsed="false">
      <c r="A300" s="10" t="n">
        <v>299</v>
      </c>
      <c r="B300" s="10" t="s">
        <v>88</v>
      </c>
      <c r="C300" s="21" t="n">
        <v>46295</v>
      </c>
      <c r="D300" s="10" t="s">
        <v>306</v>
      </c>
      <c r="E300" s="10" t="s">
        <v>112</v>
      </c>
      <c r="F300" s="10" t="s">
        <v>786</v>
      </c>
      <c r="G300" s="10" t="s">
        <v>188</v>
      </c>
      <c r="H300" s="10" t="s">
        <v>787</v>
      </c>
      <c r="I300" s="9"/>
      <c r="J300" s="9"/>
      <c r="K300" s="10" t="s">
        <v>96</v>
      </c>
      <c r="L300" s="10" t="s">
        <v>107</v>
      </c>
      <c r="M300" s="16" t="str">
        <f aca="false">IFERROR(VLOOKUP(N300,Словарь!$A$2:$B$15,2,FALSE()),"Нужно решение")</f>
        <v>Выполнено, ждёт акта</v>
      </c>
      <c r="N300" s="10" t="s">
        <v>150</v>
      </c>
      <c r="O300" s="10" t="s">
        <v>151</v>
      </c>
      <c r="P300" s="22" t="str">
        <f aca="true">IF(AND(OR(M300="Не начато",M300="В работе",M300="Нужно решение"),C300&lt;TODAY()),TODAY()-C300,"")</f>
        <v/>
      </c>
      <c r="Q300" s="10" t="s">
        <v>238</v>
      </c>
      <c r="R300" s="10" t="s">
        <v>487</v>
      </c>
      <c r="S300" s="10"/>
      <c r="T300" s="10" t="s">
        <v>495</v>
      </c>
      <c r="U300" s="10" t="n">
        <v>323</v>
      </c>
    </row>
    <row r="301" customFormat="false" ht="23.85" hidden="false" customHeight="false" outlineLevel="0" collapsed="false">
      <c r="A301" s="10" t="n">
        <v>300</v>
      </c>
      <c r="B301" s="10" t="s">
        <v>88</v>
      </c>
      <c r="C301" s="21" t="n">
        <v>46295</v>
      </c>
      <c r="D301" s="10" t="s">
        <v>306</v>
      </c>
      <c r="E301" s="10" t="s">
        <v>112</v>
      </c>
      <c r="F301" s="10" t="s">
        <v>788</v>
      </c>
      <c r="G301" s="10" t="s">
        <v>188</v>
      </c>
      <c r="H301" s="10" t="s">
        <v>789</v>
      </c>
      <c r="I301" s="9"/>
      <c r="J301" s="9"/>
      <c r="K301" s="10" t="s">
        <v>96</v>
      </c>
      <c r="L301" s="10" t="s">
        <v>107</v>
      </c>
      <c r="M301" s="16" t="str">
        <f aca="false">IFERROR(VLOOKUP(N301,Словарь!$A$2:$B$15,2,FALSE()),"Нужно решение")</f>
        <v>Выполнено, ждёт акта</v>
      </c>
      <c r="N301" s="10" t="s">
        <v>150</v>
      </c>
      <c r="O301" s="10" t="s">
        <v>151</v>
      </c>
      <c r="P301" s="22" t="str">
        <f aca="true">IF(AND(OR(M301="Не начато",M301="В работе",M301="Нужно решение"),C301&lt;TODAY()),TODAY()-C301,"")</f>
        <v/>
      </c>
      <c r="Q301" s="10" t="s">
        <v>238</v>
      </c>
      <c r="R301" s="10" t="s">
        <v>487</v>
      </c>
      <c r="S301" s="10"/>
      <c r="T301" s="10" t="s">
        <v>495</v>
      </c>
      <c r="U301" s="10" t="n">
        <v>324</v>
      </c>
    </row>
    <row r="302" customFormat="false" ht="23.85" hidden="false" customHeight="false" outlineLevel="0" collapsed="false">
      <c r="A302" s="10" t="n">
        <v>301</v>
      </c>
      <c r="B302" s="10" t="s">
        <v>88</v>
      </c>
      <c r="C302" s="21" t="n">
        <v>46295</v>
      </c>
      <c r="D302" s="10" t="s">
        <v>306</v>
      </c>
      <c r="E302" s="10" t="s">
        <v>112</v>
      </c>
      <c r="F302" s="10" t="s">
        <v>790</v>
      </c>
      <c r="G302" s="10" t="s">
        <v>192</v>
      </c>
      <c r="H302" s="10" t="s">
        <v>789</v>
      </c>
      <c r="I302" s="9"/>
      <c r="J302" s="9"/>
      <c r="K302" s="10" t="s">
        <v>96</v>
      </c>
      <c r="L302" s="10" t="s">
        <v>107</v>
      </c>
      <c r="M302" s="16" t="str">
        <f aca="false">IFERROR(VLOOKUP(N302,Словарь!$A$2:$B$15,2,FALSE()),"Нужно решение")</f>
        <v>Выполнено, ждёт акта</v>
      </c>
      <c r="N302" s="10" t="s">
        <v>150</v>
      </c>
      <c r="O302" s="10" t="s">
        <v>151</v>
      </c>
      <c r="P302" s="22" t="str">
        <f aca="true">IF(AND(OR(M302="Не начато",M302="В работе",M302="Нужно решение"),C302&lt;TODAY()),TODAY()-C302,"")</f>
        <v/>
      </c>
      <c r="Q302" s="10" t="s">
        <v>238</v>
      </c>
      <c r="R302" s="10" t="s">
        <v>487</v>
      </c>
      <c r="S302" s="10"/>
      <c r="T302" s="10" t="s">
        <v>495</v>
      </c>
      <c r="U302" s="10" t="n">
        <v>325</v>
      </c>
    </row>
    <row r="303" customFormat="false" ht="23.85" hidden="false" customHeight="false" outlineLevel="0" collapsed="false">
      <c r="A303" s="10" t="n">
        <v>302</v>
      </c>
      <c r="B303" s="10" t="s">
        <v>88</v>
      </c>
      <c r="C303" s="21" t="n">
        <v>46295</v>
      </c>
      <c r="D303" s="10" t="s">
        <v>791</v>
      </c>
      <c r="E303" s="10" t="s">
        <v>113</v>
      </c>
      <c r="F303" s="10" t="s">
        <v>792</v>
      </c>
      <c r="G303" s="10" t="s">
        <v>188</v>
      </c>
      <c r="H303" s="10" t="s">
        <v>793</v>
      </c>
      <c r="I303" s="9"/>
      <c r="J303" s="9"/>
      <c r="K303" s="10" t="s">
        <v>95</v>
      </c>
      <c r="L303" s="10" t="s">
        <v>101</v>
      </c>
      <c r="M303" s="16" t="str">
        <f aca="false">IFERROR(VLOOKUP(N303,Словарь!$A$2:$B$15,2,FALSE()),"Нужно решение")</f>
        <v>В работе</v>
      </c>
      <c r="N303" s="10" t="s">
        <v>13</v>
      </c>
      <c r="O303" s="10"/>
      <c r="P303" s="22" t="n">
        <f aca="true">IF(AND(OR(M303="Не начато",M303="В работе",M303="Нужно решение"),C303&lt;TODAY()),TODAY()-C303,"")</f>
        <v>27</v>
      </c>
      <c r="Q303" s="10" t="s">
        <v>238</v>
      </c>
      <c r="R303" s="10" t="s">
        <v>487</v>
      </c>
      <c r="S303" s="10"/>
      <c r="T303" s="10" t="s">
        <v>794</v>
      </c>
      <c r="U303" s="10" t="n">
        <v>302</v>
      </c>
    </row>
    <row r="304" customFormat="false" ht="23.85" hidden="false" customHeight="false" outlineLevel="0" collapsed="false">
      <c r="A304" s="10" t="n">
        <v>303</v>
      </c>
      <c r="B304" s="10" t="s">
        <v>88</v>
      </c>
      <c r="C304" s="21" t="n">
        <v>46295</v>
      </c>
      <c r="D304" s="10" t="s">
        <v>160</v>
      </c>
      <c r="E304" s="10" t="s">
        <v>113</v>
      </c>
      <c r="F304" s="10" t="s">
        <v>795</v>
      </c>
      <c r="G304" s="10" t="s">
        <v>142</v>
      </c>
      <c r="H304" s="10" t="s">
        <v>796</v>
      </c>
      <c r="I304" s="9"/>
      <c r="J304" s="9"/>
      <c r="K304" s="10" t="s">
        <v>96</v>
      </c>
      <c r="L304" s="10" t="s">
        <v>101</v>
      </c>
      <c r="M304" s="16" t="str">
        <f aca="false">IFERROR(VLOOKUP(N304,Словарь!$A$2:$B$15,2,FALSE()),"Нужно решение")</f>
        <v>Выполнено, ждёт акта</v>
      </c>
      <c r="N304" s="10" t="s">
        <v>150</v>
      </c>
      <c r="O304" s="10" t="s">
        <v>171</v>
      </c>
      <c r="P304" s="22" t="str">
        <f aca="true">IF(AND(OR(M304="Не начато",M304="В работе",M304="Нужно решение"),C304&lt;TODAY()),TODAY()-C304,"")</f>
        <v/>
      </c>
      <c r="Q304" s="10" t="s">
        <v>238</v>
      </c>
      <c r="R304" s="10" t="s">
        <v>487</v>
      </c>
      <c r="S304" s="10"/>
      <c r="T304" s="10" t="s">
        <v>495</v>
      </c>
      <c r="U304" s="10" t="n">
        <v>303</v>
      </c>
    </row>
    <row r="305" customFormat="false" ht="23.85" hidden="false" customHeight="false" outlineLevel="0" collapsed="false">
      <c r="A305" s="10" t="n">
        <v>304</v>
      </c>
      <c r="B305" s="10" t="s">
        <v>88</v>
      </c>
      <c r="C305" s="21" t="n">
        <v>46295</v>
      </c>
      <c r="D305" s="10" t="s">
        <v>160</v>
      </c>
      <c r="E305" s="10" t="s">
        <v>112</v>
      </c>
      <c r="F305" s="10" t="s">
        <v>797</v>
      </c>
      <c r="G305" s="10" t="s">
        <v>188</v>
      </c>
      <c r="H305" s="10" t="s">
        <v>798</v>
      </c>
      <c r="I305" s="9"/>
      <c r="J305" s="9"/>
      <c r="K305" s="10" t="s">
        <v>95</v>
      </c>
      <c r="L305" s="10" t="s">
        <v>101</v>
      </c>
      <c r="M305" s="16" t="str">
        <f aca="false">IFERROR(VLOOKUP(N305,Словарь!$A$2:$B$15,2,FALSE()),"Нужно решение")</f>
        <v>В работе</v>
      </c>
      <c r="N305" s="10" t="s">
        <v>13</v>
      </c>
      <c r="O305" s="10"/>
      <c r="P305" s="22" t="n">
        <f aca="true">IF(AND(OR(M305="Не начато",M305="В работе",M305="Нужно решение"),C305&lt;TODAY()),TODAY()-C305,"")</f>
        <v>27</v>
      </c>
      <c r="Q305" s="10" t="s">
        <v>238</v>
      </c>
      <c r="R305" s="10" t="s">
        <v>487</v>
      </c>
      <c r="S305" s="10"/>
      <c r="T305" s="10" t="s">
        <v>799</v>
      </c>
      <c r="U305" s="10" t="n">
        <v>304</v>
      </c>
    </row>
    <row r="306" customFormat="false" ht="23.85" hidden="false" customHeight="false" outlineLevel="0" collapsed="false">
      <c r="A306" s="10" t="n">
        <v>305</v>
      </c>
      <c r="B306" s="10" t="s">
        <v>88</v>
      </c>
      <c r="C306" s="21" t="n">
        <v>46295</v>
      </c>
      <c r="D306" s="10" t="s">
        <v>160</v>
      </c>
      <c r="E306" s="10" t="s">
        <v>113</v>
      </c>
      <c r="F306" s="10" t="s">
        <v>800</v>
      </c>
      <c r="G306" s="10" t="s">
        <v>192</v>
      </c>
      <c r="H306" s="10" t="s">
        <v>801</v>
      </c>
      <c r="I306" s="9"/>
      <c r="J306" s="9"/>
      <c r="K306" s="10" t="s">
        <v>95</v>
      </c>
      <c r="L306" s="10" t="s">
        <v>101</v>
      </c>
      <c r="M306" s="16" t="str">
        <f aca="false">IFERROR(VLOOKUP(N306,Словарь!$A$2:$B$15,2,FALSE()),"Нужно решение")</f>
        <v>Не начато</v>
      </c>
      <c r="N306" s="10" t="s">
        <v>10</v>
      </c>
      <c r="O306" s="10"/>
      <c r="P306" s="22" t="n">
        <f aca="true">IF(AND(OR(M306="Не начато",M306="В работе",M306="Нужно решение"),C306&lt;TODAY()),TODAY()-C306,"")</f>
        <v>27</v>
      </c>
      <c r="Q306" s="10" t="s">
        <v>238</v>
      </c>
      <c r="R306" s="10" t="s">
        <v>487</v>
      </c>
      <c r="S306" s="10"/>
      <c r="T306" s="10"/>
      <c r="U306" s="10" t="n">
        <v>305</v>
      </c>
    </row>
    <row r="307" customFormat="false" ht="23.85" hidden="false" customHeight="false" outlineLevel="0" collapsed="false">
      <c r="A307" s="10" t="n">
        <v>306</v>
      </c>
      <c r="B307" s="10" t="s">
        <v>88</v>
      </c>
      <c r="C307" s="21" t="n">
        <v>46295</v>
      </c>
      <c r="D307" s="10" t="s">
        <v>802</v>
      </c>
      <c r="E307" s="10" t="s">
        <v>112</v>
      </c>
      <c r="F307" s="10" t="s">
        <v>803</v>
      </c>
      <c r="G307" s="10" t="s">
        <v>192</v>
      </c>
      <c r="H307" s="10" t="s">
        <v>804</v>
      </c>
      <c r="I307" s="9"/>
      <c r="J307" s="9"/>
      <c r="K307" s="10" t="s">
        <v>95</v>
      </c>
      <c r="L307" s="10" t="s">
        <v>100</v>
      </c>
      <c r="M307" s="16" t="str">
        <f aca="false">IFERROR(VLOOKUP(N307,Словарь!$A$2:$B$15,2,FALSE()),"Нужно решение")</f>
        <v>Не начато</v>
      </c>
      <c r="N307" s="10" t="s">
        <v>10</v>
      </c>
      <c r="O307" s="10"/>
      <c r="P307" s="22" t="n">
        <f aca="true">IF(AND(OR(M307="Не начато",M307="В работе",M307="Нужно решение"),C307&lt;TODAY()),TODAY()-C307,"")</f>
        <v>27</v>
      </c>
      <c r="Q307" s="10" t="s">
        <v>238</v>
      </c>
      <c r="R307" s="10" t="s">
        <v>487</v>
      </c>
      <c r="S307" s="10"/>
      <c r="T307" s="10"/>
      <c r="U307" s="10" t="n">
        <v>326</v>
      </c>
    </row>
    <row r="308" customFormat="false" ht="23.85" hidden="false" customHeight="false" outlineLevel="0" collapsed="false">
      <c r="A308" s="10" t="n">
        <v>307</v>
      </c>
      <c r="B308" s="10" t="s">
        <v>88</v>
      </c>
      <c r="C308" s="21" t="n">
        <v>46295</v>
      </c>
      <c r="D308" s="10" t="s">
        <v>805</v>
      </c>
      <c r="E308" s="10" t="s">
        <v>112</v>
      </c>
      <c r="F308" s="10" t="s">
        <v>406</v>
      </c>
      <c r="G308" s="10" t="s">
        <v>136</v>
      </c>
      <c r="H308" s="10"/>
      <c r="I308" s="9" t="n">
        <v>125000</v>
      </c>
      <c r="J308" s="9"/>
      <c r="K308" s="10" t="s">
        <v>95</v>
      </c>
      <c r="L308" s="10" t="s">
        <v>100</v>
      </c>
      <c r="M308" s="16" t="str">
        <f aca="false">IFERROR(VLOOKUP(N308,Словарь!$A$2:$B$15,2,FALSE()),"Нужно решение")</f>
        <v>Выполнено, ждёт акта</v>
      </c>
      <c r="N308" s="10" t="s">
        <v>150</v>
      </c>
      <c r="O308" s="10" t="s">
        <v>377</v>
      </c>
      <c r="P308" s="22" t="str">
        <f aca="true">IF(AND(OR(M308="Не начато",M308="В работе",M308="Нужно решение"),C308&lt;TODAY()),TODAY()-C308,"")</f>
        <v/>
      </c>
      <c r="Q308" s="10" t="s">
        <v>238</v>
      </c>
      <c r="R308" s="10" t="s">
        <v>487</v>
      </c>
      <c r="S308" s="10"/>
      <c r="T308" s="10" t="s">
        <v>806</v>
      </c>
      <c r="U308" s="10" t="n">
        <v>332</v>
      </c>
    </row>
    <row r="309" customFormat="false" ht="35.05" hidden="false" customHeight="false" outlineLevel="0" collapsed="false">
      <c r="A309" s="10" t="n">
        <v>308</v>
      </c>
      <c r="B309" s="10" t="s">
        <v>88</v>
      </c>
      <c r="C309" s="21" t="n">
        <v>46295</v>
      </c>
      <c r="D309" s="10" t="s">
        <v>805</v>
      </c>
      <c r="E309" s="10" t="s">
        <v>112</v>
      </c>
      <c r="F309" s="10" t="s">
        <v>725</v>
      </c>
      <c r="G309" s="10" t="s">
        <v>142</v>
      </c>
      <c r="H309" s="10" t="s">
        <v>807</v>
      </c>
      <c r="I309" s="9"/>
      <c r="J309" s="9"/>
      <c r="K309" s="10" t="s">
        <v>96</v>
      </c>
      <c r="L309" s="10" t="s">
        <v>106</v>
      </c>
      <c r="M309" s="16" t="str">
        <f aca="false">IFERROR(VLOOKUP(N309,Словарь!$A$2:$B$15,2,FALSE()),"Нужно решение")</f>
        <v>В работе</v>
      </c>
      <c r="N309" s="10" t="s">
        <v>505</v>
      </c>
      <c r="O309" s="10"/>
      <c r="P309" s="22" t="n">
        <f aca="true">IF(AND(OR(M309="Не начато",M309="В работе",M309="Нужно решение"),C309&lt;TODAY()),TODAY()-C309,"")</f>
        <v>27</v>
      </c>
      <c r="Q309" s="10" t="s">
        <v>238</v>
      </c>
      <c r="R309" s="10" t="s">
        <v>487</v>
      </c>
      <c r="S309" s="10"/>
      <c r="T309" s="10" t="s">
        <v>808</v>
      </c>
      <c r="U309" s="10" t="n">
        <v>333</v>
      </c>
    </row>
    <row r="310" customFormat="false" ht="35.05" hidden="false" customHeight="false" outlineLevel="0" collapsed="false">
      <c r="A310" s="10" t="n">
        <v>309</v>
      </c>
      <c r="B310" s="10" t="s">
        <v>88</v>
      </c>
      <c r="C310" s="21" t="n">
        <v>46295</v>
      </c>
      <c r="D310" s="10" t="s">
        <v>391</v>
      </c>
      <c r="E310" s="10" t="s">
        <v>112</v>
      </c>
      <c r="F310" s="10" t="s">
        <v>406</v>
      </c>
      <c r="G310" s="10" t="s">
        <v>136</v>
      </c>
      <c r="H310" s="10"/>
      <c r="I310" s="9" t="n">
        <v>125000</v>
      </c>
      <c r="J310" s="9"/>
      <c r="K310" s="10" t="s">
        <v>96</v>
      </c>
      <c r="L310" s="10" t="s">
        <v>106</v>
      </c>
      <c r="M310" s="16" t="str">
        <f aca="false">IFERROR(VLOOKUP(N310,Словарь!$A$2:$B$15,2,FALSE()),"Нужно решение")</f>
        <v>Выполнено, ждёт акта</v>
      </c>
      <c r="N310" s="10" t="s">
        <v>150</v>
      </c>
      <c r="O310" s="10" t="s">
        <v>491</v>
      </c>
      <c r="P310" s="22" t="str">
        <f aca="true">IF(AND(OR(M310="Не начато",M310="В работе",M310="Нужно решение"),C310&lt;TODAY()),TODAY()-C310,"")</f>
        <v/>
      </c>
      <c r="Q310" s="10" t="s">
        <v>238</v>
      </c>
      <c r="R310" s="10" t="s">
        <v>487</v>
      </c>
      <c r="S310" s="10"/>
      <c r="T310" s="10" t="s">
        <v>809</v>
      </c>
      <c r="U310" s="10" t="n">
        <v>334</v>
      </c>
    </row>
    <row r="311" customFormat="false" ht="23.85" hidden="false" customHeight="false" outlineLevel="0" collapsed="false">
      <c r="A311" s="10" t="n">
        <v>310</v>
      </c>
      <c r="B311" s="10" t="s">
        <v>88</v>
      </c>
      <c r="C311" s="21" t="n">
        <v>46295</v>
      </c>
      <c r="D311" s="10" t="s">
        <v>393</v>
      </c>
      <c r="E311" s="10" t="s">
        <v>112</v>
      </c>
      <c r="F311" s="10" t="s">
        <v>810</v>
      </c>
      <c r="G311" s="10" t="s">
        <v>142</v>
      </c>
      <c r="H311" s="10" t="s">
        <v>811</v>
      </c>
      <c r="I311" s="9"/>
      <c r="J311" s="9"/>
      <c r="K311" s="10" t="s">
        <v>95</v>
      </c>
      <c r="L311" s="10" t="s">
        <v>100</v>
      </c>
      <c r="M311" s="16" t="str">
        <f aca="false">IFERROR(VLOOKUP(N311,Словарь!$A$2:$B$15,2,FALSE()),"Нужно решение")</f>
        <v>Нужно решение</v>
      </c>
      <c r="N311" s="10" t="s">
        <v>812</v>
      </c>
      <c r="O311" s="10"/>
      <c r="P311" s="22" t="n">
        <f aca="true">IF(AND(OR(M311="Не начато",M311="В работе",M311="Нужно решение"),C311&lt;TODAY()),TODAY()-C311,"")</f>
        <v>27</v>
      </c>
      <c r="Q311" s="10"/>
      <c r="R311" s="10"/>
      <c r="S311" s="10"/>
      <c r="T311" s="10"/>
      <c r="U311" s="10" t="n">
        <v>335</v>
      </c>
    </row>
    <row r="312" customFormat="false" ht="23.85" hidden="false" customHeight="false" outlineLevel="0" collapsed="false">
      <c r="A312" s="10" t="n">
        <v>311</v>
      </c>
      <c r="B312" s="10" t="s">
        <v>88</v>
      </c>
      <c r="C312" s="21" t="n">
        <v>46295</v>
      </c>
      <c r="D312" s="10" t="s">
        <v>393</v>
      </c>
      <c r="E312" s="10" t="s">
        <v>112</v>
      </c>
      <c r="F312" s="10" t="s">
        <v>813</v>
      </c>
      <c r="G312" s="10" t="s">
        <v>245</v>
      </c>
      <c r="H312" s="10" t="s">
        <v>811</v>
      </c>
      <c r="I312" s="9"/>
      <c r="J312" s="9"/>
      <c r="K312" s="10" t="s">
        <v>95</v>
      </c>
      <c r="L312" s="10" t="s">
        <v>100</v>
      </c>
      <c r="M312" s="16" t="str">
        <f aca="false">IFERROR(VLOOKUP(N312,Словарь!$A$2:$B$15,2,FALSE()),"Нужно решение")</f>
        <v>Не начато</v>
      </c>
      <c r="N312" s="10" t="s">
        <v>10</v>
      </c>
      <c r="O312" s="10"/>
      <c r="P312" s="22" t="n">
        <f aca="true">IF(AND(OR(M312="Не начато",M312="В работе",M312="Нужно решение"),C312&lt;TODAY()),TODAY()-C312,"")</f>
        <v>27</v>
      </c>
      <c r="Q312" s="10" t="s">
        <v>238</v>
      </c>
      <c r="R312" s="10" t="s">
        <v>487</v>
      </c>
      <c r="S312" s="10"/>
      <c r="T312" s="10"/>
      <c r="U312" s="10" t="n">
        <v>336</v>
      </c>
    </row>
    <row r="313" customFormat="false" ht="23.85" hidden="false" customHeight="false" outlineLevel="0" collapsed="false">
      <c r="A313" s="10" t="n">
        <v>312</v>
      </c>
      <c r="B313" s="10" t="s">
        <v>88</v>
      </c>
      <c r="C313" s="21" t="n">
        <v>46295</v>
      </c>
      <c r="D313" s="10" t="s">
        <v>393</v>
      </c>
      <c r="E313" s="10" t="s">
        <v>112</v>
      </c>
      <c r="F313" s="10" t="s">
        <v>814</v>
      </c>
      <c r="G313" s="10" t="s">
        <v>142</v>
      </c>
      <c r="H313" s="10" t="s">
        <v>811</v>
      </c>
      <c r="I313" s="9"/>
      <c r="J313" s="9"/>
      <c r="K313" s="10" t="s">
        <v>96</v>
      </c>
      <c r="L313" s="10" t="s">
        <v>106</v>
      </c>
      <c r="M313" s="16" t="str">
        <f aca="false">IFERROR(VLOOKUP(N313,Словарь!$A$2:$B$15,2,FALSE()),"Нужно решение")</f>
        <v>Выполнено, ждёт акта</v>
      </c>
      <c r="N313" s="10" t="s">
        <v>150</v>
      </c>
      <c r="O313" s="10" t="s">
        <v>171</v>
      </c>
      <c r="P313" s="22" t="str">
        <f aca="true">IF(AND(OR(M313="Не начато",M313="В работе",M313="Нужно решение"),C313&lt;TODAY()),TODAY()-C313,"")</f>
        <v/>
      </c>
      <c r="Q313" s="10" t="s">
        <v>238</v>
      </c>
      <c r="R313" s="10" t="s">
        <v>487</v>
      </c>
      <c r="S313" s="10"/>
      <c r="T313" s="10" t="s">
        <v>495</v>
      </c>
      <c r="U313" s="10" t="n">
        <v>337</v>
      </c>
    </row>
    <row r="314" customFormat="false" ht="23.85" hidden="false" customHeight="false" outlineLevel="0" collapsed="false">
      <c r="A314" s="10" t="n">
        <v>313</v>
      </c>
      <c r="B314" s="10" t="s">
        <v>88</v>
      </c>
      <c r="C314" s="21" t="n">
        <v>46295</v>
      </c>
      <c r="D314" s="10" t="s">
        <v>393</v>
      </c>
      <c r="E314" s="10" t="s">
        <v>112</v>
      </c>
      <c r="F314" s="10" t="s">
        <v>815</v>
      </c>
      <c r="G314" s="10" t="s">
        <v>142</v>
      </c>
      <c r="H314" s="10" t="s">
        <v>811</v>
      </c>
      <c r="I314" s="9"/>
      <c r="J314" s="9"/>
      <c r="K314" s="10" t="s">
        <v>96</v>
      </c>
      <c r="L314" s="10" t="s">
        <v>106</v>
      </c>
      <c r="M314" s="16" t="str">
        <f aca="false">IFERROR(VLOOKUP(N314,Словарь!$A$2:$B$15,2,FALSE()),"Нужно решение")</f>
        <v>Выполнено, ждёт акта</v>
      </c>
      <c r="N314" s="10" t="s">
        <v>150</v>
      </c>
      <c r="O314" s="10" t="s">
        <v>171</v>
      </c>
      <c r="P314" s="22" t="str">
        <f aca="true">IF(AND(OR(M314="Не начато",M314="В работе",M314="Нужно решение"),C314&lt;TODAY()),TODAY()-C314,"")</f>
        <v/>
      </c>
      <c r="Q314" s="10" t="s">
        <v>238</v>
      </c>
      <c r="R314" s="10" t="s">
        <v>487</v>
      </c>
      <c r="S314" s="10"/>
      <c r="T314" s="10" t="s">
        <v>495</v>
      </c>
      <c r="U314" s="10" t="n">
        <v>338</v>
      </c>
    </row>
    <row r="315" customFormat="false" ht="23.85" hidden="false" customHeight="false" outlineLevel="0" collapsed="false">
      <c r="A315" s="10" t="n">
        <v>314</v>
      </c>
      <c r="B315" s="10" t="s">
        <v>88</v>
      </c>
      <c r="C315" s="21" t="n">
        <v>46295</v>
      </c>
      <c r="D315" s="10" t="s">
        <v>393</v>
      </c>
      <c r="E315" s="10" t="s">
        <v>112</v>
      </c>
      <c r="F315" s="10" t="s">
        <v>816</v>
      </c>
      <c r="G315" s="10" t="s">
        <v>245</v>
      </c>
      <c r="H315" s="10" t="s">
        <v>817</v>
      </c>
      <c r="I315" s="9" t="n">
        <v>320000</v>
      </c>
      <c r="J315" s="9"/>
      <c r="K315" s="10" t="s">
        <v>95</v>
      </c>
      <c r="L315" s="10" t="s">
        <v>100</v>
      </c>
      <c r="M315" s="16" t="str">
        <f aca="false">IFERROR(VLOOKUP(N315,Словарь!$A$2:$B$15,2,FALSE()),"Нужно решение")</f>
        <v>Выполнено, ждёт акта</v>
      </c>
      <c r="N315" s="10" t="s">
        <v>150</v>
      </c>
      <c r="O315" s="10"/>
      <c r="P315" s="22" t="str">
        <f aca="true">IF(AND(OR(M315="Не начато",M315="В работе",M315="Нужно решение"),C315&lt;TODAY()),TODAY()-C315,"")</f>
        <v/>
      </c>
      <c r="Q315" s="10" t="s">
        <v>238</v>
      </c>
      <c r="R315" s="10" t="s">
        <v>487</v>
      </c>
      <c r="S315" s="10"/>
      <c r="T315" s="10" t="s">
        <v>806</v>
      </c>
      <c r="U315" s="10" t="n">
        <v>339</v>
      </c>
    </row>
    <row r="316" customFormat="false" ht="23.85" hidden="false" customHeight="false" outlineLevel="0" collapsed="false">
      <c r="A316" s="10" t="n">
        <v>315</v>
      </c>
      <c r="B316" s="10" t="s">
        <v>88</v>
      </c>
      <c r="C316" s="21" t="n">
        <v>46295</v>
      </c>
      <c r="D316" s="10" t="s">
        <v>393</v>
      </c>
      <c r="E316" s="10" t="s">
        <v>112</v>
      </c>
      <c r="F316" s="10" t="s">
        <v>818</v>
      </c>
      <c r="G316" s="10" t="s">
        <v>148</v>
      </c>
      <c r="H316" s="10" t="s">
        <v>817</v>
      </c>
      <c r="I316" s="9"/>
      <c r="J316" s="9"/>
      <c r="K316" s="10" t="s">
        <v>95</v>
      </c>
      <c r="L316" s="10" t="s">
        <v>100</v>
      </c>
      <c r="M316" s="16" t="str">
        <f aca="false">IFERROR(VLOOKUP(N316,Словарь!$A$2:$B$15,2,FALSE()),"Нужно решение")</f>
        <v>Не начато</v>
      </c>
      <c r="N316" s="10" t="s">
        <v>10</v>
      </c>
      <c r="O316" s="10"/>
      <c r="P316" s="22" t="n">
        <f aca="true">IF(AND(OR(M316="Не начато",M316="В работе",M316="Нужно решение"),C316&lt;TODAY()),TODAY()-C316,"")</f>
        <v>27</v>
      </c>
      <c r="Q316" s="10" t="s">
        <v>238</v>
      </c>
      <c r="R316" s="10" t="s">
        <v>487</v>
      </c>
      <c r="S316" s="10"/>
      <c r="T316" s="10"/>
      <c r="U316" s="10" t="n">
        <v>340</v>
      </c>
    </row>
    <row r="317" customFormat="false" ht="23.85" hidden="false" customHeight="false" outlineLevel="0" collapsed="false">
      <c r="A317" s="10" t="n">
        <v>316</v>
      </c>
      <c r="B317" s="10" t="s">
        <v>88</v>
      </c>
      <c r="C317" s="21" t="n">
        <v>46295</v>
      </c>
      <c r="D317" s="10" t="s">
        <v>393</v>
      </c>
      <c r="E317" s="10" t="s">
        <v>112</v>
      </c>
      <c r="F317" s="10" t="s">
        <v>819</v>
      </c>
      <c r="G317" s="10" t="s">
        <v>148</v>
      </c>
      <c r="H317" s="10" t="s">
        <v>817</v>
      </c>
      <c r="I317" s="9"/>
      <c r="J317" s="9"/>
      <c r="K317" s="10" t="s">
        <v>95</v>
      </c>
      <c r="L317" s="10" t="s">
        <v>100</v>
      </c>
      <c r="M317" s="16" t="str">
        <f aca="false">IFERROR(VLOOKUP(N317,Словарь!$A$2:$B$15,2,FALSE()),"Нужно решение")</f>
        <v>Не начато</v>
      </c>
      <c r="N317" s="10" t="s">
        <v>10</v>
      </c>
      <c r="O317" s="10"/>
      <c r="P317" s="22" t="n">
        <f aca="true">IF(AND(OR(M317="Не начато",M317="В работе",M317="Нужно решение"),C317&lt;TODAY()),TODAY()-C317,"")</f>
        <v>27</v>
      </c>
      <c r="Q317" s="10" t="s">
        <v>238</v>
      </c>
      <c r="R317" s="10" t="s">
        <v>487</v>
      </c>
      <c r="S317" s="10"/>
      <c r="T317" s="10"/>
      <c r="U317" s="10" t="n">
        <v>341</v>
      </c>
    </row>
    <row r="318" customFormat="false" ht="35.05" hidden="false" customHeight="false" outlineLevel="0" collapsed="false">
      <c r="A318" s="10" t="n">
        <v>317</v>
      </c>
      <c r="B318" s="10" t="s">
        <v>88</v>
      </c>
      <c r="C318" s="21" t="n">
        <v>46295</v>
      </c>
      <c r="D318" s="10" t="s">
        <v>820</v>
      </c>
      <c r="E318" s="10" t="s">
        <v>112</v>
      </c>
      <c r="F318" s="10" t="s">
        <v>406</v>
      </c>
      <c r="G318" s="10" t="s">
        <v>136</v>
      </c>
      <c r="H318" s="10"/>
      <c r="I318" s="9" t="n">
        <v>125000</v>
      </c>
      <c r="J318" s="9"/>
      <c r="K318" s="10" t="s">
        <v>96</v>
      </c>
      <c r="L318" s="10" t="s">
        <v>106</v>
      </c>
      <c r="M318" s="16" t="str">
        <f aca="false">IFERROR(VLOOKUP(N318,Словарь!$A$2:$B$15,2,FALSE()),"Нужно решение")</f>
        <v>Выполнено, ждёт акта</v>
      </c>
      <c r="N318" s="10" t="s">
        <v>150</v>
      </c>
      <c r="O318" s="10" t="s">
        <v>491</v>
      </c>
      <c r="P318" s="22" t="str">
        <f aca="true">IF(AND(OR(M318="Не начато",M318="В работе",M318="Нужно решение"),C318&lt;TODAY()),TODAY()-C318,"")</f>
        <v/>
      </c>
      <c r="Q318" s="10" t="s">
        <v>238</v>
      </c>
      <c r="R318" s="10" t="s">
        <v>487</v>
      </c>
      <c r="S318" s="10"/>
      <c r="T318" s="10" t="s">
        <v>809</v>
      </c>
      <c r="U318" s="10" t="n">
        <v>342</v>
      </c>
    </row>
    <row r="319" customFormat="false" ht="23.85" hidden="false" customHeight="false" outlineLevel="0" collapsed="false">
      <c r="A319" s="10" t="n">
        <v>318</v>
      </c>
      <c r="B319" s="10" t="s">
        <v>88</v>
      </c>
      <c r="C319" s="21" t="n">
        <v>46295</v>
      </c>
      <c r="D319" s="10" t="s">
        <v>167</v>
      </c>
      <c r="E319" s="10" t="s">
        <v>112</v>
      </c>
      <c r="F319" s="10" t="s">
        <v>821</v>
      </c>
      <c r="G319" s="10" t="s">
        <v>188</v>
      </c>
      <c r="H319" s="10"/>
      <c r="I319" s="9"/>
      <c r="J319" s="9"/>
      <c r="K319" s="10" t="s">
        <v>96</v>
      </c>
      <c r="L319" s="10" t="s">
        <v>106</v>
      </c>
      <c r="M319" s="16" t="str">
        <f aca="false">IFERROR(VLOOKUP(N319,Словарь!$A$2:$B$15,2,FALSE()),"Нужно решение")</f>
        <v>Выполнено, ждёт акта</v>
      </c>
      <c r="N319" s="10" t="s">
        <v>150</v>
      </c>
      <c r="O319" s="10" t="s">
        <v>151</v>
      </c>
      <c r="P319" s="22" t="str">
        <f aca="true">IF(AND(OR(M319="Не начато",M319="В работе",M319="Нужно решение"),C319&lt;TODAY()),TODAY()-C319,"")</f>
        <v/>
      </c>
      <c r="Q319" s="10" t="s">
        <v>238</v>
      </c>
      <c r="R319" s="10" t="s">
        <v>487</v>
      </c>
      <c r="S319" s="10"/>
      <c r="T319" s="10" t="s">
        <v>768</v>
      </c>
      <c r="U319" s="10" t="n">
        <v>343</v>
      </c>
    </row>
    <row r="320" customFormat="false" ht="23.85" hidden="false" customHeight="false" outlineLevel="0" collapsed="false">
      <c r="A320" s="10" t="n">
        <v>319</v>
      </c>
      <c r="B320" s="10" t="s">
        <v>88</v>
      </c>
      <c r="C320" s="21" t="n">
        <v>46295</v>
      </c>
      <c r="D320" s="10" t="s">
        <v>167</v>
      </c>
      <c r="E320" s="10" t="s">
        <v>112</v>
      </c>
      <c r="F320" s="10" t="s">
        <v>822</v>
      </c>
      <c r="G320" s="10" t="s">
        <v>188</v>
      </c>
      <c r="H320" s="10"/>
      <c r="I320" s="9"/>
      <c r="J320" s="9"/>
      <c r="K320" s="10" t="s">
        <v>97</v>
      </c>
      <c r="L320" s="10" t="s">
        <v>100</v>
      </c>
      <c r="M320" s="16" t="str">
        <f aca="false">IFERROR(VLOOKUP(N320,Словарь!$A$2:$B$15,2,FALSE()),"Нужно решение")</f>
        <v>Выполнено, ждёт акта</v>
      </c>
      <c r="N320" s="10" t="s">
        <v>150</v>
      </c>
      <c r="O320" s="10"/>
      <c r="P320" s="22" t="str">
        <f aca="true">IF(AND(OR(M320="Не начато",M320="В работе",M320="Нужно решение"),C320&lt;TODAY()),TODAY()-C320,"")</f>
        <v/>
      </c>
      <c r="Q320" s="10" t="s">
        <v>238</v>
      </c>
      <c r="R320" s="10" t="s">
        <v>487</v>
      </c>
      <c r="S320" s="10"/>
      <c r="T320" s="10" t="s">
        <v>806</v>
      </c>
      <c r="U320" s="10" t="n">
        <v>344</v>
      </c>
    </row>
    <row r="321" customFormat="false" ht="23.85" hidden="false" customHeight="false" outlineLevel="0" collapsed="false">
      <c r="A321" s="10" t="n">
        <v>320</v>
      </c>
      <c r="B321" s="10" t="s">
        <v>88</v>
      </c>
      <c r="C321" s="21" t="n">
        <v>46295</v>
      </c>
      <c r="D321" s="10" t="s">
        <v>167</v>
      </c>
      <c r="E321" s="10" t="s">
        <v>112</v>
      </c>
      <c r="F321" s="10" t="s">
        <v>823</v>
      </c>
      <c r="G321" s="10" t="s">
        <v>192</v>
      </c>
      <c r="H321" s="10" t="s">
        <v>514</v>
      </c>
      <c r="I321" s="9"/>
      <c r="J321" s="9"/>
      <c r="K321" s="10" t="s">
        <v>95</v>
      </c>
      <c r="L321" s="10" t="s">
        <v>100</v>
      </c>
      <c r="M321" s="16" t="str">
        <f aca="false">IFERROR(VLOOKUP(N321,Словарь!$A$2:$B$15,2,FALSE()),"Нужно решение")</f>
        <v>Не начато</v>
      </c>
      <c r="N321" s="10" t="s">
        <v>10</v>
      </c>
      <c r="O321" s="10"/>
      <c r="P321" s="22" t="n">
        <f aca="true">IF(AND(OR(M321="Не начато",M321="В работе",M321="Нужно решение"),C321&lt;TODAY()),TODAY()-C321,"")</f>
        <v>27</v>
      </c>
      <c r="Q321" s="10" t="s">
        <v>238</v>
      </c>
      <c r="R321" s="10" t="s">
        <v>487</v>
      </c>
      <c r="S321" s="10"/>
      <c r="T321" s="10"/>
      <c r="U321" s="10" t="n">
        <v>345</v>
      </c>
    </row>
    <row r="322" customFormat="false" ht="23.85" hidden="false" customHeight="false" outlineLevel="0" collapsed="false">
      <c r="A322" s="10" t="n">
        <v>321</v>
      </c>
      <c r="B322" s="10" t="s">
        <v>88</v>
      </c>
      <c r="C322" s="21" t="n">
        <v>46295</v>
      </c>
      <c r="D322" s="10" t="s">
        <v>824</v>
      </c>
      <c r="E322" s="10" t="s">
        <v>112</v>
      </c>
      <c r="F322" s="10" t="s">
        <v>825</v>
      </c>
      <c r="G322" s="10" t="s">
        <v>245</v>
      </c>
      <c r="H322" s="10" t="s">
        <v>826</v>
      </c>
      <c r="I322" s="9" t="n">
        <v>20000</v>
      </c>
      <c r="J322" s="9" t="n">
        <v>22671</v>
      </c>
      <c r="K322" s="10" t="s">
        <v>95</v>
      </c>
      <c r="L322" s="10" t="s">
        <v>102</v>
      </c>
      <c r="M322" s="16" t="str">
        <f aca="false">IFERROR(VLOOKUP(N322,Словарь!$A$2:$B$15,2,FALSE()),"Нужно решение")</f>
        <v>Принято с актом</v>
      </c>
      <c r="N322" s="10" t="s">
        <v>138</v>
      </c>
      <c r="O322" s="10" t="s">
        <v>155</v>
      </c>
      <c r="P322" s="22" t="str">
        <f aca="true">IF(AND(OR(M322="Не начато",M322="В работе",M322="Нужно решение"),C322&lt;TODAY()),TODAY()-C322,"")</f>
        <v/>
      </c>
      <c r="Q322" s="10" t="s">
        <v>143</v>
      </c>
      <c r="R322" s="10" t="s">
        <v>722</v>
      </c>
      <c r="S322" s="10"/>
      <c r="T322" s="10" t="s">
        <v>827</v>
      </c>
      <c r="U322" s="10" t="n">
        <v>346</v>
      </c>
    </row>
    <row r="323" customFormat="false" ht="23.85" hidden="false" customHeight="false" outlineLevel="0" collapsed="false">
      <c r="A323" s="10" t="n">
        <v>322</v>
      </c>
      <c r="B323" s="10" t="s">
        <v>88</v>
      </c>
      <c r="C323" s="21" t="n">
        <v>46295</v>
      </c>
      <c r="D323" s="10" t="s">
        <v>824</v>
      </c>
      <c r="E323" s="10" t="s">
        <v>112</v>
      </c>
      <c r="F323" s="10" t="s">
        <v>828</v>
      </c>
      <c r="G323" s="10" t="s">
        <v>142</v>
      </c>
      <c r="H323" s="10"/>
      <c r="I323" s="9" t="n">
        <v>99310.89</v>
      </c>
      <c r="J323" s="9" t="n">
        <v>99310.89</v>
      </c>
      <c r="K323" s="10" t="s">
        <v>96</v>
      </c>
      <c r="L323" s="10" t="s">
        <v>102</v>
      </c>
      <c r="M323" s="16" t="str">
        <f aca="false">IFERROR(VLOOKUP(N323,Словарь!$A$2:$B$15,2,FALSE()),"Нужно решение")</f>
        <v>Принято с актом</v>
      </c>
      <c r="N323" s="10" t="s">
        <v>138</v>
      </c>
      <c r="O323" s="10" t="s">
        <v>155</v>
      </c>
      <c r="P323" s="22" t="str">
        <f aca="true">IF(AND(OR(M323="Не начато",M323="В работе",M323="Нужно решение"),C323&lt;TODAY()),TODAY()-C323,"")</f>
        <v/>
      </c>
      <c r="Q323" s="10" t="s">
        <v>143</v>
      </c>
      <c r="R323" s="10" t="s">
        <v>722</v>
      </c>
      <c r="S323" s="10"/>
      <c r="T323" s="10" t="s">
        <v>145</v>
      </c>
      <c r="U323" s="10" t="n">
        <v>347</v>
      </c>
    </row>
    <row r="324" customFormat="false" ht="23.85" hidden="false" customHeight="false" outlineLevel="0" collapsed="false">
      <c r="A324" s="10" t="n">
        <v>323</v>
      </c>
      <c r="B324" s="10" t="s">
        <v>88</v>
      </c>
      <c r="C324" s="21" t="n">
        <v>46295</v>
      </c>
      <c r="D324" s="10" t="s">
        <v>824</v>
      </c>
      <c r="E324" s="10" t="s">
        <v>112</v>
      </c>
      <c r="F324" s="10" t="s">
        <v>829</v>
      </c>
      <c r="G324" s="10" t="s">
        <v>142</v>
      </c>
      <c r="H324" s="10" t="s">
        <v>830</v>
      </c>
      <c r="I324" s="9" t="n">
        <v>99310.89</v>
      </c>
      <c r="J324" s="9" t="n">
        <v>99310.89</v>
      </c>
      <c r="K324" s="10" t="s">
        <v>96</v>
      </c>
      <c r="L324" s="10" t="s">
        <v>102</v>
      </c>
      <c r="M324" s="16" t="str">
        <f aca="false">IFERROR(VLOOKUP(N324,Словарь!$A$2:$B$15,2,FALSE()),"Нужно решение")</f>
        <v>Принято с актом</v>
      </c>
      <c r="N324" s="10" t="s">
        <v>138</v>
      </c>
      <c r="O324" s="10" t="s">
        <v>155</v>
      </c>
      <c r="P324" s="22" t="str">
        <f aca="true">IF(AND(OR(M324="Не начато",M324="В работе",M324="Нужно решение"),C324&lt;TODAY()),TODAY()-C324,"")</f>
        <v/>
      </c>
      <c r="Q324" s="10" t="s">
        <v>143</v>
      </c>
      <c r="R324" s="10" t="s">
        <v>722</v>
      </c>
      <c r="S324" s="10"/>
      <c r="T324" s="10" t="s">
        <v>145</v>
      </c>
      <c r="U324" s="10" t="n">
        <v>348</v>
      </c>
    </row>
    <row r="325" customFormat="false" ht="23.85" hidden="false" customHeight="false" outlineLevel="0" collapsed="false">
      <c r="A325" s="10" t="n">
        <v>324</v>
      </c>
      <c r="B325" s="10" t="s">
        <v>88</v>
      </c>
      <c r="C325" s="21" t="n">
        <v>46295</v>
      </c>
      <c r="D325" s="10" t="s">
        <v>831</v>
      </c>
      <c r="E325" s="10" t="s">
        <v>112</v>
      </c>
      <c r="F325" s="10" t="s">
        <v>161</v>
      </c>
      <c r="G325" s="10" t="s">
        <v>162</v>
      </c>
      <c r="H325" s="10" t="s">
        <v>832</v>
      </c>
      <c r="I325" s="9" t="n">
        <v>29034.12</v>
      </c>
      <c r="J325" s="9" t="n">
        <v>29034.12</v>
      </c>
      <c r="K325" s="10" t="s">
        <v>96</v>
      </c>
      <c r="L325" s="10" t="s">
        <v>102</v>
      </c>
      <c r="M325" s="16" t="str">
        <f aca="false">IFERROR(VLOOKUP(N325,Словарь!$A$2:$B$15,2,FALSE()),"Нужно решение")</f>
        <v>Принято с актом</v>
      </c>
      <c r="N325" s="10" t="s">
        <v>138</v>
      </c>
      <c r="O325" s="10" t="s">
        <v>155</v>
      </c>
      <c r="P325" s="22" t="str">
        <f aca="true">IF(AND(OR(M325="Не начато",M325="В работе",M325="Нужно решение"),C325&lt;TODAY()),TODAY()-C325,"")</f>
        <v/>
      </c>
      <c r="Q325" s="10" t="s">
        <v>143</v>
      </c>
      <c r="R325" s="10" t="s">
        <v>722</v>
      </c>
      <c r="S325" s="10"/>
      <c r="T325" s="10" t="s">
        <v>763</v>
      </c>
      <c r="U325" s="10" t="n">
        <v>349</v>
      </c>
    </row>
    <row r="326" customFormat="false" ht="23.85" hidden="false" customHeight="false" outlineLevel="0" collapsed="false">
      <c r="A326" s="10" t="n">
        <v>325</v>
      </c>
      <c r="B326" s="10" t="s">
        <v>88</v>
      </c>
      <c r="C326" s="21" t="n">
        <v>46295</v>
      </c>
      <c r="D326" s="10" t="s">
        <v>831</v>
      </c>
      <c r="E326" s="10" t="s">
        <v>112</v>
      </c>
      <c r="F326" s="10" t="s">
        <v>833</v>
      </c>
      <c r="G326" s="10" t="s">
        <v>174</v>
      </c>
      <c r="H326" s="10" t="s">
        <v>832</v>
      </c>
      <c r="I326" s="9" t="n">
        <v>8383.36</v>
      </c>
      <c r="J326" s="9" t="n">
        <v>8383.36</v>
      </c>
      <c r="K326" s="10" t="s">
        <v>96</v>
      </c>
      <c r="L326" s="10" t="s">
        <v>102</v>
      </c>
      <c r="M326" s="16" t="str">
        <f aca="false">IFERROR(VLOOKUP(N326,Словарь!$A$2:$B$15,2,FALSE()),"Нужно решение")</f>
        <v>Принято с актом</v>
      </c>
      <c r="N326" s="10" t="s">
        <v>138</v>
      </c>
      <c r="O326" s="10" t="s">
        <v>155</v>
      </c>
      <c r="P326" s="22" t="str">
        <f aca="true">IF(AND(OR(M326="Не начато",M326="В работе",M326="Нужно решение"),C326&lt;TODAY()),TODAY()-C326,"")</f>
        <v/>
      </c>
      <c r="Q326" s="10" t="s">
        <v>143</v>
      </c>
      <c r="R326" s="10" t="s">
        <v>722</v>
      </c>
      <c r="S326" s="10"/>
      <c r="T326" s="10" t="s">
        <v>207</v>
      </c>
      <c r="U326" s="10" t="n">
        <v>350</v>
      </c>
    </row>
    <row r="327" customFormat="false" ht="23.85" hidden="false" customHeight="false" outlineLevel="0" collapsed="false">
      <c r="A327" s="10" t="n">
        <v>326</v>
      </c>
      <c r="B327" s="10" t="s">
        <v>88</v>
      </c>
      <c r="C327" s="21" t="n">
        <v>46295</v>
      </c>
      <c r="D327" s="10" t="s">
        <v>831</v>
      </c>
      <c r="E327" s="10" t="s">
        <v>112</v>
      </c>
      <c r="F327" s="10" t="s">
        <v>834</v>
      </c>
      <c r="G327" s="10" t="s">
        <v>192</v>
      </c>
      <c r="H327" s="10" t="s">
        <v>835</v>
      </c>
      <c r="I327" s="9"/>
      <c r="J327" s="9"/>
      <c r="K327" s="10" t="s">
        <v>95</v>
      </c>
      <c r="L327" s="10" t="s">
        <v>102</v>
      </c>
      <c r="M327" s="16" t="str">
        <f aca="false">IFERROR(VLOOKUP(N327,Словарь!$A$2:$B$15,2,FALSE()),"Нужно решение")</f>
        <v>Не начато</v>
      </c>
      <c r="N327" s="10" t="s">
        <v>10</v>
      </c>
      <c r="O327" s="10"/>
      <c r="P327" s="22" t="n">
        <f aca="true">IF(AND(OR(M327="Не начато",M327="В работе",M327="Нужно решение"),C327&lt;TODAY()),TODAY()-C327,"")</f>
        <v>27</v>
      </c>
      <c r="Q327" s="10" t="s">
        <v>238</v>
      </c>
      <c r="R327" s="10" t="s">
        <v>487</v>
      </c>
      <c r="S327" s="10"/>
      <c r="T327" s="10"/>
      <c r="U327" s="10" t="n">
        <v>351</v>
      </c>
    </row>
    <row r="328" customFormat="false" ht="23.85" hidden="false" customHeight="false" outlineLevel="0" collapsed="false">
      <c r="A328" s="10" t="n">
        <v>327</v>
      </c>
      <c r="B328" s="10" t="s">
        <v>88</v>
      </c>
      <c r="C328" s="21" t="n">
        <v>46295</v>
      </c>
      <c r="D328" s="10" t="s">
        <v>831</v>
      </c>
      <c r="E328" s="10" t="s">
        <v>112</v>
      </c>
      <c r="F328" s="10" t="s">
        <v>836</v>
      </c>
      <c r="G328" s="10" t="s">
        <v>188</v>
      </c>
      <c r="H328" s="10" t="s">
        <v>837</v>
      </c>
      <c r="I328" s="9" t="n">
        <v>54006</v>
      </c>
      <c r="J328" s="9" t="n">
        <v>54006</v>
      </c>
      <c r="K328" s="10" t="s">
        <v>97</v>
      </c>
      <c r="L328" s="10" t="s">
        <v>102</v>
      </c>
      <c r="M328" s="16" t="str">
        <f aca="false">IFERROR(VLOOKUP(N328,Словарь!$A$2:$B$15,2,FALSE()),"Нужно решение")</f>
        <v>Принято с актом</v>
      </c>
      <c r="N328" s="10" t="s">
        <v>138</v>
      </c>
      <c r="O328" s="10" t="s">
        <v>155</v>
      </c>
      <c r="P328" s="22" t="str">
        <f aca="true">IF(AND(OR(M328="Не начато",M328="В работе",M328="Нужно решение"),C328&lt;TODAY()),TODAY()-C328,"")</f>
        <v/>
      </c>
      <c r="Q328" s="10" t="s">
        <v>143</v>
      </c>
      <c r="R328" s="10" t="s">
        <v>722</v>
      </c>
      <c r="S328" s="10"/>
      <c r="T328" s="10" t="s">
        <v>145</v>
      </c>
      <c r="U328" s="10" t="n">
        <v>352</v>
      </c>
    </row>
    <row r="329" customFormat="false" ht="23.85" hidden="false" customHeight="false" outlineLevel="0" collapsed="false">
      <c r="A329" s="10" t="n">
        <v>328</v>
      </c>
      <c r="B329" s="10" t="s">
        <v>88</v>
      </c>
      <c r="C329" s="21" t="n">
        <v>46295</v>
      </c>
      <c r="D329" s="10" t="s">
        <v>838</v>
      </c>
      <c r="E329" s="10" t="s">
        <v>112</v>
      </c>
      <c r="F329" s="10" t="s">
        <v>839</v>
      </c>
      <c r="G329" s="10" t="s">
        <v>142</v>
      </c>
      <c r="H329" s="10"/>
      <c r="I329" s="9" t="n">
        <v>10000</v>
      </c>
      <c r="J329" s="9"/>
      <c r="K329" s="10" t="s">
        <v>96</v>
      </c>
      <c r="L329" s="10" t="s">
        <v>102</v>
      </c>
      <c r="M329" s="16" t="str">
        <f aca="false">IFERROR(VLOOKUP(N329,Словарь!$A$2:$B$15,2,FALSE()),"Нужно решение")</f>
        <v>В работе</v>
      </c>
      <c r="N329" s="10" t="s">
        <v>13</v>
      </c>
      <c r="O329" s="10"/>
      <c r="P329" s="22" t="n">
        <f aca="true">IF(AND(OR(M329="Не начато",M329="В работе",M329="Нужно решение"),C329&lt;TODAY()),TODAY()-C329,"")</f>
        <v>27</v>
      </c>
      <c r="Q329" s="10" t="s">
        <v>238</v>
      </c>
      <c r="R329" s="10" t="s">
        <v>487</v>
      </c>
      <c r="S329" s="10"/>
      <c r="T329" s="10" t="s">
        <v>569</v>
      </c>
      <c r="U329" s="10" t="n">
        <v>353</v>
      </c>
    </row>
    <row r="330" customFormat="false" ht="23.85" hidden="false" customHeight="false" outlineLevel="0" collapsed="false">
      <c r="A330" s="10" t="n">
        <v>329</v>
      </c>
      <c r="B330" s="10" t="s">
        <v>88</v>
      </c>
      <c r="C330" s="21" t="n">
        <v>46295</v>
      </c>
      <c r="D330" s="10" t="s">
        <v>838</v>
      </c>
      <c r="E330" s="10" t="s">
        <v>112</v>
      </c>
      <c r="F330" s="10" t="s">
        <v>406</v>
      </c>
      <c r="G330" s="10" t="s">
        <v>136</v>
      </c>
      <c r="H330" s="10"/>
      <c r="I330" s="9" t="n">
        <v>125000</v>
      </c>
      <c r="J330" s="9"/>
      <c r="K330" s="10" t="s">
        <v>95</v>
      </c>
      <c r="L330" s="10" t="s">
        <v>102</v>
      </c>
      <c r="M330" s="16" t="str">
        <f aca="false">IFERROR(VLOOKUP(N330,Словарь!$A$2:$B$15,2,FALSE()),"Нужно решение")</f>
        <v>Выполнено, ждёт акта</v>
      </c>
      <c r="N330" s="10" t="s">
        <v>150</v>
      </c>
      <c r="O330" s="10" t="s">
        <v>377</v>
      </c>
      <c r="P330" s="22" t="str">
        <f aca="true">IF(AND(OR(M330="Не начато",M330="В работе",M330="Нужно решение"),C330&lt;TODAY()),TODAY()-C330,"")</f>
        <v/>
      </c>
      <c r="Q330" s="10" t="s">
        <v>238</v>
      </c>
      <c r="R330" s="10" t="s">
        <v>487</v>
      </c>
      <c r="S330" s="10"/>
      <c r="T330" s="10" t="s">
        <v>840</v>
      </c>
      <c r="U330" s="10" t="n">
        <v>354</v>
      </c>
    </row>
    <row r="331" customFormat="false" ht="23.85" hidden="false" customHeight="false" outlineLevel="0" collapsed="false">
      <c r="A331" s="10" t="n">
        <v>330</v>
      </c>
      <c r="B331" s="10" t="s">
        <v>88</v>
      </c>
      <c r="C331" s="21" t="n">
        <v>46295</v>
      </c>
      <c r="D331" s="10" t="s">
        <v>841</v>
      </c>
      <c r="E331" s="10" t="s">
        <v>112</v>
      </c>
      <c r="F331" s="10" t="s">
        <v>842</v>
      </c>
      <c r="G331" s="10" t="s">
        <v>245</v>
      </c>
      <c r="H331" s="10" t="s">
        <v>843</v>
      </c>
      <c r="I331" s="9"/>
      <c r="J331" s="9"/>
      <c r="K331" s="10" t="s">
        <v>96</v>
      </c>
      <c r="L331" s="10" t="s">
        <v>102</v>
      </c>
      <c r="M331" s="16" t="str">
        <f aca="false">IFERROR(VLOOKUP(N331,Словарь!$A$2:$B$15,2,FALSE()),"Нужно решение")</f>
        <v>В работе</v>
      </c>
      <c r="N331" s="10" t="s">
        <v>13</v>
      </c>
      <c r="O331" s="10"/>
      <c r="P331" s="22" t="n">
        <f aca="true">IF(AND(OR(M331="Не начато",M331="В работе",M331="Нужно решение"),C331&lt;TODAY()),TODAY()-C331,"")</f>
        <v>27</v>
      </c>
      <c r="Q331" s="10" t="s">
        <v>238</v>
      </c>
      <c r="R331" s="10" t="s">
        <v>487</v>
      </c>
      <c r="S331" s="10"/>
      <c r="T331" s="10" t="s">
        <v>569</v>
      </c>
      <c r="U331" s="10" t="n">
        <v>355</v>
      </c>
    </row>
    <row r="332" customFormat="false" ht="23.85" hidden="false" customHeight="false" outlineLevel="0" collapsed="false">
      <c r="A332" s="10" t="n">
        <v>331</v>
      </c>
      <c r="B332" s="10" t="s">
        <v>88</v>
      </c>
      <c r="C332" s="21" t="n">
        <v>46295</v>
      </c>
      <c r="D332" s="10" t="s">
        <v>841</v>
      </c>
      <c r="E332" s="10" t="s">
        <v>112</v>
      </c>
      <c r="F332" s="10" t="s">
        <v>844</v>
      </c>
      <c r="G332" s="10" t="s">
        <v>188</v>
      </c>
      <c r="H332" s="10" t="s">
        <v>837</v>
      </c>
      <c r="I332" s="9"/>
      <c r="J332" s="9"/>
      <c r="K332" s="10" t="s">
        <v>96</v>
      </c>
      <c r="L332" s="10" t="s">
        <v>102</v>
      </c>
      <c r="M332" s="16" t="str">
        <f aca="false">IFERROR(VLOOKUP(N332,Словарь!$A$2:$B$15,2,FALSE()),"Нужно решение")</f>
        <v>Выполнено, ждёт акта</v>
      </c>
      <c r="N332" s="10" t="s">
        <v>150</v>
      </c>
      <c r="O332" s="10" t="s">
        <v>171</v>
      </c>
      <c r="P332" s="22" t="str">
        <f aca="true">IF(AND(OR(M332="Не начато",M332="В работе",M332="Нужно решение"),C332&lt;TODAY()),TODAY()-C332,"")</f>
        <v/>
      </c>
      <c r="Q332" s="10" t="s">
        <v>238</v>
      </c>
      <c r="R332" s="10" t="s">
        <v>487</v>
      </c>
      <c r="S332" s="10"/>
      <c r="T332" s="10" t="s">
        <v>768</v>
      </c>
      <c r="U332" s="10" t="n">
        <v>356</v>
      </c>
    </row>
    <row r="333" customFormat="false" ht="23.85" hidden="false" customHeight="false" outlineLevel="0" collapsed="false">
      <c r="A333" s="10" t="n">
        <v>332</v>
      </c>
      <c r="B333" s="10" t="s">
        <v>88</v>
      </c>
      <c r="C333" s="21" t="n">
        <v>46295</v>
      </c>
      <c r="D333" s="10" t="s">
        <v>403</v>
      </c>
      <c r="E333" s="10" t="s">
        <v>113</v>
      </c>
      <c r="F333" s="10" t="s">
        <v>845</v>
      </c>
      <c r="G333" s="10" t="s">
        <v>142</v>
      </c>
      <c r="H333" s="10" t="s">
        <v>846</v>
      </c>
      <c r="I333" s="9"/>
      <c r="J333" s="9"/>
      <c r="K333" s="10" t="s">
        <v>96</v>
      </c>
      <c r="L333" s="10" t="s">
        <v>102</v>
      </c>
      <c r="M333" s="16" t="str">
        <f aca="false">IFERROR(VLOOKUP(N333,Словарь!$A$2:$B$15,2,FALSE()),"Нужно решение")</f>
        <v>Выполнено, ждёт акта</v>
      </c>
      <c r="N333" s="10" t="s">
        <v>150</v>
      </c>
      <c r="O333" s="10" t="s">
        <v>151</v>
      </c>
      <c r="P333" s="22" t="str">
        <f aca="true">IF(AND(OR(M333="Не начато",M333="В работе",M333="Нужно решение"),C333&lt;TODAY()),TODAY()-C333,"")</f>
        <v/>
      </c>
      <c r="Q333" s="10" t="s">
        <v>238</v>
      </c>
      <c r="R333" s="10" t="s">
        <v>487</v>
      </c>
      <c r="S333" s="10" t="s">
        <v>847</v>
      </c>
      <c r="T333" s="10" t="s">
        <v>495</v>
      </c>
      <c r="U333" s="10" t="n">
        <v>357</v>
      </c>
    </row>
    <row r="334" customFormat="false" ht="23.85" hidden="false" customHeight="false" outlineLevel="0" collapsed="false">
      <c r="A334" s="10" t="n">
        <v>333</v>
      </c>
      <c r="B334" s="10" t="s">
        <v>88</v>
      </c>
      <c r="C334" s="21" t="n">
        <v>46295</v>
      </c>
      <c r="D334" s="10" t="s">
        <v>403</v>
      </c>
      <c r="E334" s="10" t="s">
        <v>113</v>
      </c>
      <c r="F334" s="10" t="s">
        <v>848</v>
      </c>
      <c r="G334" s="10" t="s">
        <v>245</v>
      </c>
      <c r="H334" s="10" t="s">
        <v>846</v>
      </c>
      <c r="I334" s="9"/>
      <c r="J334" s="9"/>
      <c r="K334" s="10" t="s">
        <v>95</v>
      </c>
      <c r="L334" s="10" t="s">
        <v>100</v>
      </c>
      <c r="M334" s="16" t="str">
        <f aca="false">IFERROR(VLOOKUP(N334,Словарь!$A$2:$B$15,2,FALSE()),"Нужно решение")</f>
        <v>Не начато</v>
      </c>
      <c r="N334" s="10" t="s">
        <v>10</v>
      </c>
      <c r="O334" s="10"/>
      <c r="P334" s="22" t="n">
        <f aca="true">IF(AND(OR(M334="Не начато",M334="В работе",M334="Нужно решение"),C334&lt;TODAY()),TODAY()-C334,"")</f>
        <v>27</v>
      </c>
      <c r="Q334" s="10" t="s">
        <v>238</v>
      </c>
      <c r="R334" s="10" t="s">
        <v>487</v>
      </c>
      <c r="S334" s="10" t="s">
        <v>847</v>
      </c>
      <c r="T334" s="10"/>
      <c r="U334" s="10" t="n">
        <v>358</v>
      </c>
    </row>
    <row r="335" customFormat="false" ht="23.85" hidden="false" customHeight="false" outlineLevel="0" collapsed="false">
      <c r="A335" s="10" t="n">
        <v>334</v>
      </c>
      <c r="B335" s="10" t="s">
        <v>88</v>
      </c>
      <c r="C335" s="21" t="n">
        <v>46295</v>
      </c>
      <c r="D335" s="10" t="s">
        <v>403</v>
      </c>
      <c r="E335" s="10" t="s">
        <v>113</v>
      </c>
      <c r="F335" s="10" t="s">
        <v>849</v>
      </c>
      <c r="G335" s="10" t="s">
        <v>148</v>
      </c>
      <c r="H335" s="10" t="s">
        <v>846</v>
      </c>
      <c r="I335" s="9"/>
      <c r="J335" s="9"/>
      <c r="K335" s="10" t="s">
        <v>95</v>
      </c>
      <c r="L335" s="10" t="s">
        <v>100</v>
      </c>
      <c r="M335" s="16" t="str">
        <f aca="false">IFERROR(VLOOKUP(N335,Словарь!$A$2:$B$15,2,FALSE()),"Нужно решение")</f>
        <v>Не начато</v>
      </c>
      <c r="N335" s="10" t="s">
        <v>10</v>
      </c>
      <c r="O335" s="10"/>
      <c r="P335" s="22" t="n">
        <f aca="true">IF(AND(OR(M335="Не начато",M335="В работе",M335="Нужно решение"),C335&lt;TODAY()),TODAY()-C335,"")</f>
        <v>27</v>
      </c>
      <c r="Q335" s="10" t="s">
        <v>238</v>
      </c>
      <c r="R335" s="10" t="s">
        <v>487</v>
      </c>
      <c r="S335" s="10" t="s">
        <v>847</v>
      </c>
      <c r="T335" s="10"/>
      <c r="U335" s="10" t="n">
        <v>359</v>
      </c>
    </row>
    <row r="336" customFormat="false" ht="35.05" hidden="false" customHeight="false" outlineLevel="0" collapsed="false">
      <c r="A336" s="10" t="n">
        <v>335</v>
      </c>
      <c r="B336" s="10" t="s">
        <v>88</v>
      </c>
      <c r="C336" s="21" t="n">
        <v>46295</v>
      </c>
      <c r="D336" s="10" t="s">
        <v>403</v>
      </c>
      <c r="E336" s="10" t="s">
        <v>113</v>
      </c>
      <c r="F336" s="10" t="s">
        <v>850</v>
      </c>
      <c r="G336" s="10" t="s">
        <v>174</v>
      </c>
      <c r="H336" s="10" t="s">
        <v>846</v>
      </c>
      <c r="I336" s="9"/>
      <c r="J336" s="9"/>
      <c r="K336" s="10" t="s">
        <v>96</v>
      </c>
      <c r="L336" s="10" t="s">
        <v>102</v>
      </c>
      <c r="M336" s="16" t="str">
        <f aca="false">IFERROR(VLOOKUP(N336,Словарь!$A$2:$B$15,2,FALSE()),"Нужно решение")</f>
        <v>В работе</v>
      </c>
      <c r="N336" s="10" t="s">
        <v>505</v>
      </c>
      <c r="O336" s="10"/>
      <c r="P336" s="22" t="n">
        <f aca="true">IF(AND(OR(M336="Не начато",M336="В работе",M336="Нужно решение"),C336&lt;TODAY()),TODAY()-C336,"")</f>
        <v>27</v>
      </c>
      <c r="Q336" s="10" t="s">
        <v>238</v>
      </c>
      <c r="R336" s="10" t="s">
        <v>487</v>
      </c>
      <c r="S336" s="10" t="s">
        <v>847</v>
      </c>
      <c r="T336" s="10" t="s">
        <v>851</v>
      </c>
      <c r="U336" s="10" t="n">
        <v>360</v>
      </c>
    </row>
    <row r="337" customFormat="false" ht="23.85" hidden="false" customHeight="false" outlineLevel="0" collapsed="false">
      <c r="A337" s="10" t="n">
        <v>336</v>
      </c>
      <c r="B337" s="10" t="s">
        <v>88</v>
      </c>
      <c r="C337" s="21" t="n">
        <v>46295</v>
      </c>
      <c r="D337" s="10" t="s">
        <v>403</v>
      </c>
      <c r="E337" s="10" t="s">
        <v>113</v>
      </c>
      <c r="F337" s="10" t="s">
        <v>852</v>
      </c>
      <c r="G337" s="10" t="s">
        <v>245</v>
      </c>
      <c r="H337" s="10" t="s">
        <v>846</v>
      </c>
      <c r="I337" s="9"/>
      <c r="J337" s="9"/>
      <c r="K337" s="10" t="s">
        <v>95</v>
      </c>
      <c r="L337" s="10" t="s">
        <v>100</v>
      </c>
      <c r="M337" s="16" t="str">
        <f aca="false">IFERROR(VLOOKUP(N337,Словарь!$A$2:$B$15,2,FALSE()),"Нужно решение")</f>
        <v>Не начато</v>
      </c>
      <c r="N337" s="10" t="s">
        <v>10</v>
      </c>
      <c r="O337" s="10"/>
      <c r="P337" s="22" t="n">
        <f aca="true">IF(AND(OR(M337="Не начато",M337="В работе",M337="Нужно решение"),C337&lt;TODAY()),TODAY()-C337,"")</f>
        <v>27</v>
      </c>
      <c r="Q337" s="10" t="s">
        <v>238</v>
      </c>
      <c r="R337" s="10" t="s">
        <v>487</v>
      </c>
      <c r="S337" s="10" t="s">
        <v>847</v>
      </c>
      <c r="T337" s="10"/>
      <c r="U337" s="10" t="n">
        <v>361</v>
      </c>
    </row>
    <row r="338" customFormat="false" ht="35.05" hidden="false" customHeight="false" outlineLevel="0" collapsed="false">
      <c r="A338" s="10" t="n">
        <v>337</v>
      </c>
      <c r="B338" s="10" t="s">
        <v>88</v>
      </c>
      <c r="C338" s="21" t="n">
        <v>46295</v>
      </c>
      <c r="D338" s="10" t="s">
        <v>403</v>
      </c>
      <c r="E338" s="10" t="s">
        <v>113</v>
      </c>
      <c r="F338" s="10" t="s">
        <v>853</v>
      </c>
      <c r="G338" s="10" t="s">
        <v>188</v>
      </c>
      <c r="H338" s="10" t="s">
        <v>846</v>
      </c>
      <c r="I338" s="9"/>
      <c r="J338" s="9"/>
      <c r="K338" s="10" t="s">
        <v>95</v>
      </c>
      <c r="L338" s="10" t="s">
        <v>100</v>
      </c>
      <c r="M338" s="16" t="str">
        <f aca="false">IFERROR(VLOOKUP(N338,Словарь!$A$2:$B$15,2,FALSE()),"Нужно решение")</f>
        <v>Не начато</v>
      </c>
      <c r="N338" s="10" t="s">
        <v>10</v>
      </c>
      <c r="O338" s="10"/>
      <c r="P338" s="22" t="n">
        <f aca="true">IF(AND(OR(M338="Не начато",M338="В работе",M338="Нужно решение"),C338&lt;TODAY()),TODAY()-C338,"")</f>
        <v>27</v>
      </c>
      <c r="Q338" s="10" t="s">
        <v>238</v>
      </c>
      <c r="R338" s="10" t="s">
        <v>487</v>
      </c>
      <c r="S338" s="10" t="s">
        <v>847</v>
      </c>
      <c r="T338" s="10"/>
      <c r="U338" s="10" t="n">
        <v>362</v>
      </c>
    </row>
    <row r="339" customFormat="false" ht="35.05" hidden="false" customHeight="false" outlineLevel="0" collapsed="false">
      <c r="A339" s="10" t="n">
        <v>338</v>
      </c>
      <c r="B339" s="10" t="s">
        <v>88</v>
      </c>
      <c r="C339" s="21" t="n">
        <v>46295</v>
      </c>
      <c r="D339" s="10" t="s">
        <v>403</v>
      </c>
      <c r="E339" s="10" t="s">
        <v>113</v>
      </c>
      <c r="F339" s="10" t="s">
        <v>854</v>
      </c>
      <c r="G339" s="10" t="s">
        <v>174</v>
      </c>
      <c r="H339" s="10" t="s">
        <v>855</v>
      </c>
      <c r="I339" s="9"/>
      <c r="J339" s="9"/>
      <c r="K339" s="10" t="s">
        <v>96</v>
      </c>
      <c r="L339" s="10" t="s">
        <v>102</v>
      </c>
      <c r="M339" s="16" t="str">
        <f aca="false">IFERROR(VLOOKUP(N339,Словарь!$A$2:$B$15,2,FALSE()),"Нужно решение")</f>
        <v>В работе</v>
      </c>
      <c r="N339" s="10" t="s">
        <v>505</v>
      </c>
      <c r="O339" s="10"/>
      <c r="P339" s="22" t="n">
        <f aca="true">IF(AND(OR(M339="Не начато",M339="В работе",M339="Нужно решение"),C339&lt;TODAY()),TODAY()-C339,"")</f>
        <v>27</v>
      </c>
      <c r="Q339" s="10" t="s">
        <v>238</v>
      </c>
      <c r="R339" s="10" t="s">
        <v>487</v>
      </c>
      <c r="S339" s="10" t="s">
        <v>847</v>
      </c>
      <c r="T339" s="10" t="s">
        <v>856</v>
      </c>
      <c r="U339" s="10" t="n">
        <v>363</v>
      </c>
    </row>
    <row r="340" customFormat="false" ht="23.85" hidden="false" customHeight="false" outlineLevel="0" collapsed="false">
      <c r="A340" s="10" t="n">
        <v>339</v>
      </c>
      <c r="B340" s="10" t="s">
        <v>88</v>
      </c>
      <c r="C340" s="21" t="n">
        <v>46295</v>
      </c>
      <c r="D340" s="10" t="s">
        <v>405</v>
      </c>
      <c r="E340" s="10" t="s">
        <v>112</v>
      </c>
      <c r="F340" s="10" t="s">
        <v>857</v>
      </c>
      <c r="G340" s="10" t="s">
        <v>174</v>
      </c>
      <c r="H340" s="10" t="s">
        <v>858</v>
      </c>
      <c r="I340" s="9"/>
      <c r="J340" s="9"/>
      <c r="K340" s="10" t="s">
        <v>96</v>
      </c>
      <c r="L340" s="10" t="s">
        <v>106</v>
      </c>
      <c r="M340" s="16" t="str">
        <f aca="false">IFERROR(VLOOKUP(N340,Словарь!$A$2:$B$15,2,FALSE()),"Нужно решение")</f>
        <v>Выполнено, ждёт акта</v>
      </c>
      <c r="N340" s="10" t="s">
        <v>150</v>
      </c>
      <c r="O340" s="10" t="s">
        <v>151</v>
      </c>
      <c r="P340" s="22" t="str">
        <f aca="true">IF(AND(OR(M340="Не начато",M340="В работе",M340="Нужно решение"),C340&lt;TODAY()),TODAY()-C340,"")</f>
        <v/>
      </c>
      <c r="Q340" s="10" t="s">
        <v>238</v>
      </c>
      <c r="R340" s="10" t="s">
        <v>487</v>
      </c>
      <c r="S340" s="10"/>
      <c r="T340" s="10" t="s">
        <v>495</v>
      </c>
      <c r="U340" s="10" t="n">
        <v>327</v>
      </c>
    </row>
    <row r="341" customFormat="false" ht="23.85" hidden="false" customHeight="false" outlineLevel="0" collapsed="false">
      <c r="A341" s="10" t="n">
        <v>340</v>
      </c>
      <c r="B341" s="10" t="s">
        <v>88</v>
      </c>
      <c r="C341" s="21" t="n">
        <v>46295</v>
      </c>
      <c r="D341" s="10" t="s">
        <v>405</v>
      </c>
      <c r="E341" s="10" t="s">
        <v>112</v>
      </c>
      <c r="F341" s="10" t="s">
        <v>859</v>
      </c>
      <c r="G341" s="10" t="s">
        <v>142</v>
      </c>
      <c r="H341" s="10" t="s">
        <v>860</v>
      </c>
      <c r="I341" s="9"/>
      <c r="J341" s="9"/>
      <c r="K341" s="10" t="s">
        <v>96</v>
      </c>
      <c r="L341" s="10" t="s">
        <v>106</v>
      </c>
      <c r="M341" s="16" t="str">
        <f aca="false">IFERROR(VLOOKUP(N341,Словарь!$A$2:$B$15,2,FALSE()),"Нужно решение")</f>
        <v>В работе</v>
      </c>
      <c r="N341" s="10" t="s">
        <v>505</v>
      </c>
      <c r="O341" s="10"/>
      <c r="P341" s="22" t="n">
        <f aca="true">IF(AND(OR(M341="Не начато",M341="В работе",M341="Нужно решение"),C341&lt;TODAY()),TODAY()-C341,"")</f>
        <v>27</v>
      </c>
      <c r="Q341" s="10" t="s">
        <v>238</v>
      </c>
      <c r="R341" s="10" t="s">
        <v>487</v>
      </c>
      <c r="S341" s="10"/>
      <c r="T341" s="10" t="s">
        <v>808</v>
      </c>
      <c r="U341" s="10" t="n">
        <v>328</v>
      </c>
    </row>
    <row r="342" customFormat="false" ht="23.85" hidden="false" customHeight="false" outlineLevel="0" collapsed="false">
      <c r="A342" s="10" t="n">
        <v>341</v>
      </c>
      <c r="B342" s="10" t="s">
        <v>88</v>
      </c>
      <c r="C342" s="21" t="n">
        <v>46295</v>
      </c>
      <c r="D342" s="10" t="s">
        <v>405</v>
      </c>
      <c r="E342" s="10" t="s">
        <v>112</v>
      </c>
      <c r="F342" s="10" t="s">
        <v>521</v>
      </c>
      <c r="G342" s="10" t="s">
        <v>169</v>
      </c>
      <c r="H342" s="10" t="s">
        <v>547</v>
      </c>
      <c r="I342" s="9"/>
      <c r="J342" s="9"/>
      <c r="K342" s="10" t="s">
        <v>96</v>
      </c>
      <c r="L342" s="10" t="s">
        <v>106</v>
      </c>
      <c r="M342" s="16" t="str">
        <f aca="false">IFERROR(VLOOKUP(N342,Словарь!$A$2:$B$15,2,FALSE()),"Нужно решение")</f>
        <v>Отложено на зиму</v>
      </c>
      <c r="N342" s="10" t="s">
        <v>22</v>
      </c>
      <c r="O342" s="10"/>
      <c r="P342" s="22" t="str">
        <f aca="true">IF(AND(OR(M342="Не начато",M342="В работе",M342="Нужно решение"),C342&lt;TODAY()),TODAY()-C342,"")</f>
        <v/>
      </c>
      <c r="Q342" s="10" t="s">
        <v>238</v>
      </c>
      <c r="R342" s="10" t="s">
        <v>487</v>
      </c>
      <c r="S342" s="10"/>
      <c r="T342" s="10" t="s">
        <v>522</v>
      </c>
      <c r="U342" s="10" t="n">
        <v>329</v>
      </c>
    </row>
    <row r="343" customFormat="false" ht="23.85" hidden="false" customHeight="false" outlineLevel="0" collapsed="false">
      <c r="A343" s="10" t="n">
        <v>342</v>
      </c>
      <c r="B343" s="10" t="s">
        <v>88</v>
      </c>
      <c r="C343" s="21" t="n">
        <v>46295</v>
      </c>
      <c r="D343" s="10" t="s">
        <v>201</v>
      </c>
      <c r="E343" s="10" t="s">
        <v>112</v>
      </c>
      <c r="F343" s="10" t="s">
        <v>861</v>
      </c>
      <c r="G343" s="10" t="s">
        <v>188</v>
      </c>
      <c r="H343" s="10" t="s">
        <v>862</v>
      </c>
      <c r="I343" s="9"/>
      <c r="J343" s="9"/>
      <c r="K343" s="10" t="s">
        <v>96</v>
      </c>
      <c r="L343" s="10" t="s">
        <v>106</v>
      </c>
      <c r="M343" s="16" t="str">
        <f aca="false">IFERROR(VLOOKUP(N343,Словарь!$A$2:$B$15,2,FALSE()),"Нужно решение")</f>
        <v>Выполнено, ждёт акта</v>
      </c>
      <c r="N343" s="10" t="s">
        <v>150</v>
      </c>
      <c r="O343" s="10" t="s">
        <v>151</v>
      </c>
      <c r="P343" s="22" t="str">
        <f aca="true">IF(AND(OR(M343="Не начато",M343="В работе",M343="Нужно решение"),C343&lt;TODAY()),TODAY()-C343,"")</f>
        <v/>
      </c>
      <c r="Q343" s="10" t="s">
        <v>238</v>
      </c>
      <c r="R343" s="10" t="s">
        <v>487</v>
      </c>
      <c r="S343" s="10"/>
      <c r="T343" s="10" t="s">
        <v>495</v>
      </c>
      <c r="U343" s="10" t="n">
        <v>330</v>
      </c>
    </row>
    <row r="344" customFormat="false" ht="23.85" hidden="false" customHeight="false" outlineLevel="0" collapsed="false">
      <c r="A344" s="10" t="n">
        <v>343</v>
      </c>
      <c r="B344" s="10" t="s">
        <v>88</v>
      </c>
      <c r="C344" s="21" t="n">
        <v>46295</v>
      </c>
      <c r="D344" s="10" t="s">
        <v>201</v>
      </c>
      <c r="E344" s="10" t="s">
        <v>112</v>
      </c>
      <c r="F344" s="10" t="s">
        <v>863</v>
      </c>
      <c r="G344" s="10" t="s">
        <v>174</v>
      </c>
      <c r="H344" s="10" t="s">
        <v>205</v>
      </c>
      <c r="I344" s="9"/>
      <c r="J344" s="9"/>
      <c r="K344" s="10" t="s">
        <v>96</v>
      </c>
      <c r="L344" s="10" t="s">
        <v>106</v>
      </c>
      <c r="M344" s="16" t="str">
        <f aca="false">IFERROR(VLOOKUP(N344,Словарь!$A$2:$B$15,2,FALSE()),"Нужно решение")</f>
        <v>В работе</v>
      </c>
      <c r="N344" s="10" t="s">
        <v>13</v>
      </c>
      <c r="O344" s="10"/>
      <c r="P344" s="22" t="n">
        <f aca="true">IF(AND(OR(M344="Не начато",M344="В работе",M344="Нужно решение"),C344&lt;TODAY()),TODAY()-C344,"")</f>
        <v>27</v>
      </c>
      <c r="Q344" s="10" t="s">
        <v>238</v>
      </c>
      <c r="R344" s="10" t="s">
        <v>487</v>
      </c>
      <c r="S344" s="10"/>
      <c r="T344" s="10" t="s">
        <v>864</v>
      </c>
      <c r="U344" s="10" t="n">
        <v>331</v>
      </c>
    </row>
    <row r="345" customFormat="false" ht="23.85" hidden="false" customHeight="false" outlineLevel="0" collapsed="false">
      <c r="A345" s="10" t="n">
        <v>344</v>
      </c>
      <c r="B345" s="10" t="s">
        <v>88</v>
      </c>
      <c r="C345" s="21" t="n">
        <v>46295</v>
      </c>
      <c r="D345" s="10" t="s">
        <v>865</v>
      </c>
      <c r="E345" s="10" t="s">
        <v>112</v>
      </c>
      <c r="F345" s="10" t="s">
        <v>866</v>
      </c>
      <c r="G345" s="10" t="s">
        <v>158</v>
      </c>
      <c r="H345" s="10"/>
      <c r="I345" s="9"/>
      <c r="J345" s="9"/>
      <c r="K345" s="10" t="s">
        <v>97</v>
      </c>
      <c r="L345" s="10" t="s">
        <v>100</v>
      </c>
      <c r="M345" s="16" t="str">
        <f aca="false">IFERROR(VLOOKUP(N345,Словарь!$A$2:$B$15,2,FALSE()),"Нужно решение")</f>
        <v>Не начато</v>
      </c>
      <c r="N345" s="10" t="s">
        <v>10</v>
      </c>
      <c r="O345" s="10"/>
      <c r="P345" s="22" t="n">
        <f aca="true">IF(AND(OR(M345="Не начато",M345="В работе",M345="Нужно решение"),C345&lt;TODAY()),TODAY()-C345,"")</f>
        <v>27</v>
      </c>
      <c r="Q345" s="10" t="s">
        <v>238</v>
      </c>
      <c r="R345" s="10" t="s">
        <v>487</v>
      </c>
      <c r="S345" s="10"/>
      <c r="T345" s="10"/>
      <c r="U345" s="10" t="n">
        <v>364</v>
      </c>
    </row>
    <row r="346" customFormat="false" ht="23.85" hidden="false" customHeight="false" outlineLevel="0" collapsed="false">
      <c r="A346" s="10" t="n">
        <v>345</v>
      </c>
      <c r="B346" s="10" t="s">
        <v>88</v>
      </c>
      <c r="C346" s="21" t="n">
        <v>46295</v>
      </c>
      <c r="D346" s="10" t="s">
        <v>865</v>
      </c>
      <c r="E346" s="10" t="s">
        <v>112</v>
      </c>
      <c r="F346" s="10" t="s">
        <v>867</v>
      </c>
      <c r="G346" s="10" t="s">
        <v>162</v>
      </c>
      <c r="H346" s="10" t="s">
        <v>868</v>
      </c>
      <c r="I346" s="9" t="n">
        <v>63157</v>
      </c>
      <c r="J346" s="9"/>
      <c r="K346" s="10" t="s">
        <v>95</v>
      </c>
      <c r="L346" s="10" t="s">
        <v>100</v>
      </c>
      <c r="M346" s="16" t="str">
        <f aca="false">IFERROR(VLOOKUP(N346,Словарь!$A$2:$B$15,2,FALSE()),"Нужно решение")</f>
        <v>Выполнено, ждёт акта</v>
      </c>
      <c r="N346" s="10" t="s">
        <v>150</v>
      </c>
      <c r="O346" s="10"/>
      <c r="P346" s="22" t="str">
        <f aca="true">IF(AND(OR(M346="Не начато",M346="В работе",M346="Нужно решение"),C346&lt;TODAY()),TODAY()-C346,"")</f>
        <v/>
      </c>
      <c r="Q346" s="10" t="s">
        <v>238</v>
      </c>
      <c r="R346" s="10" t="s">
        <v>487</v>
      </c>
      <c r="S346" s="10"/>
      <c r="T346" s="10" t="s">
        <v>806</v>
      </c>
      <c r="U346" s="10" t="n">
        <v>365</v>
      </c>
    </row>
    <row r="347" customFormat="false" ht="23.85" hidden="false" customHeight="false" outlineLevel="0" collapsed="false">
      <c r="A347" s="10" t="n">
        <v>346</v>
      </c>
      <c r="B347" s="10" t="s">
        <v>88</v>
      </c>
      <c r="C347" s="21" t="n">
        <v>46295</v>
      </c>
      <c r="D347" s="10" t="s">
        <v>865</v>
      </c>
      <c r="E347" s="10" t="s">
        <v>112</v>
      </c>
      <c r="F347" s="10" t="s">
        <v>869</v>
      </c>
      <c r="G347" s="10" t="s">
        <v>192</v>
      </c>
      <c r="H347" s="10" t="s">
        <v>870</v>
      </c>
      <c r="I347" s="9" t="n">
        <v>75000</v>
      </c>
      <c r="J347" s="9"/>
      <c r="K347" s="10" t="s">
        <v>95</v>
      </c>
      <c r="L347" s="10" t="s">
        <v>100</v>
      </c>
      <c r="M347" s="16" t="str">
        <f aca="false">IFERROR(VLOOKUP(N347,Словарь!$A$2:$B$15,2,FALSE()),"Нужно решение")</f>
        <v>Не начато</v>
      </c>
      <c r="N347" s="10" t="s">
        <v>10</v>
      </c>
      <c r="O347" s="10"/>
      <c r="P347" s="22" t="n">
        <f aca="true">IF(AND(OR(M347="Не начато",M347="В работе",M347="Нужно решение"),C347&lt;TODAY()),TODAY()-C347,"")</f>
        <v>27</v>
      </c>
      <c r="Q347" s="10" t="s">
        <v>238</v>
      </c>
      <c r="R347" s="10" t="s">
        <v>487</v>
      </c>
      <c r="S347" s="10"/>
      <c r="T347" s="10"/>
      <c r="U347" s="10" t="n">
        <v>366</v>
      </c>
    </row>
    <row r="348" customFormat="false" ht="23.85" hidden="false" customHeight="false" outlineLevel="0" collapsed="false">
      <c r="A348" s="10" t="n">
        <v>347</v>
      </c>
      <c r="B348" s="10" t="s">
        <v>88</v>
      </c>
      <c r="C348" s="21" t="n">
        <v>46295</v>
      </c>
      <c r="D348" s="10" t="s">
        <v>865</v>
      </c>
      <c r="E348" s="10" t="s">
        <v>112</v>
      </c>
      <c r="F348" s="10" t="s">
        <v>871</v>
      </c>
      <c r="G348" s="10" t="s">
        <v>142</v>
      </c>
      <c r="H348" s="10" t="s">
        <v>872</v>
      </c>
      <c r="I348" s="9"/>
      <c r="J348" s="9"/>
      <c r="K348" s="10" t="s">
        <v>97</v>
      </c>
      <c r="L348" s="10" t="s">
        <v>100</v>
      </c>
      <c r="M348" s="16" t="str">
        <f aca="false">IFERROR(VLOOKUP(N348,Словарь!$A$2:$B$15,2,FALSE()),"Нужно решение")</f>
        <v>Снято с плана</v>
      </c>
      <c r="N348" s="10" t="s">
        <v>164</v>
      </c>
      <c r="O348" s="10"/>
      <c r="P348" s="22" t="str">
        <f aca="true">IF(AND(OR(M348="Не начато",M348="В работе",M348="Нужно решение"),C348&lt;TODAY()),TODAY()-C348,"")</f>
        <v/>
      </c>
      <c r="Q348" s="10" t="s">
        <v>238</v>
      </c>
      <c r="R348" s="10" t="s">
        <v>487</v>
      </c>
      <c r="S348" s="10"/>
      <c r="T348" s="10" t="s">
        <v>873</v>
      </c>
      <c r="U348" s="10" t="n">
        <v>367</v>
      </c>
    </row>
    <row r="349" customFormat="false" ht="23.85" hidden="false" customHeight="false" outlineLevel="0" collapsed="false">
      <c r="A349" s="10" t="n">
        <v>348</v>
      </c>
      <c r="B349" s="10" t="s">
        <v>88</v>
      </c>
      <c r="C349" s="21" t="n">
        <v>46295</v>
      </c>
      <c r="D349" s="10" t="s">
        <v>208</v>
      </c>
      <c r="E349" s="10" t="s">
        <v>112</v>
      </c>
      <c r="F349" s="10" t="s">
        <v>874</v>
      </c>
      <c r="G349" s="10" t="s">
        <v>188</v>
      </c>
      <c r="H349" s="10" t="s">
        <v>875</v>
      </c>
      <c r="I349" s="9"/>
      <c r="J349" s="9"/>
      <c r="K349" s="10" t="s">
        <v>96</v>
      </c>
      <c r="L349" s="10" t="s">
        <v>108</v>
      </c>
      <c r="M349" s="16" t="str">
        <f aca="false">IFERROR(VLOOKUP(N349,Словарь!$A$2:$B$15,2,FALSE()),"Нужно решение")</f>
        <v>Выполнено, ждёт акта</v>
      </c>
      <c r="N349" s="10" t="s">
        <v>150</v>
      </c>
      <c r="O349" s="10" t="s">
        <v>151</v>
      </c>
      <c r="P349" s="22" t="str">
        <f aca="true">IF(AND(OR(M349="Не начато",M349="В работе",M349="Нужно решение"),C349&lt;TODAY()),TODAY()-C349,"")</f>
        <v/>
      </c>
      <c r="Q349" s="10" t="s">
        <v>238</v>
      </c>
      <c r="R349" s="10" t="s">
        <v>487</v>
      </c>
      <c r="S349" s="10"/>
      <c r="T349" s="10" t="s">
        <v>495</v>
      </c>
      <c r="U349" s="10" t="n">
        <v>368</v>
      </c>
    </row>
    <row r="350" customFormat="false" ht="23.85" hidden="false" customHeight="false" outlineLevel="0" collapsed="false">
      <c r="A350" s="10" t="n">
        <v>349</v>
      </c>
      <c r="B350" s="10" t="s">
        <v>88</v>
      </c>
      <c r="C350" s="21" t="n">
        <v>46295</v>
      </c>
      <c r="D350" s="10" t="s">
        <v>208</v>
      </c>
      <c r="E350" s="10" t="s">
        <v>112</v>
      </c>
      <c r="F350" s="10" t="s">
        <v>876</v>
      </c>
      <c r="G350" s="10" t="s">
        <v>142</v>
      </c>
      <c r="H350" s="10" t="s">
        <v>875</v>
      </c>
      <c r="I350" s="9"/>
      <c r="J350" s="9"/>
      <c r="K350" s="10" t="s">
        <v>96</v>
      </c>
      <c r="L350" s="10" t="s">
        <v>108</v>
      </c>
      <c r="M350" s="16" t="str">
        <f aca="false">IFERROR(VLOOKUP(N350,Словарь!$A$2:$B$15,2,FALSE()),"Нужно решение")</f>
        <v>Выполнено, ждёт акта</v>
      </c>
      <c r="N350" s="10" t="s">
        <v>150</v>
      </c>
      <c r="O350" s="10" t="s">
        <v>151</v>
      </c>
      <c r="P350" s="22" t="str">
        <f aca="true">IF(AND(OR(M350="Не начато",M350="В работе",M350="Нужно решение"),C350&lt;TODAY()),TODAY()-C350,"")</f>
        <v/>
      </c>
      <c r="Q350" s="10" t="s">
        <v>238</v>
      </c>
      <c r="R350" s="10" t="s">
        <v>487</v>
      </c>
      <c r="S350" s="10"/>
      <c r="T350" s="10" t="s">
        <v>495</v>
      </c>
      <c r="U350" s="10" t="n">
        <v>369</v>
      </c>
    </row>
    <row r="351" customFormat="false" ht="23.85" hidden="false" customHeight="false" outlineLevel="0" collapsed="false">
      <c r="A351" s="10" t="n">
        <v>350</v>
      </c>
      <c r="B351" s="10" t="s">
        <v>88</v>
      </c>
      <c r="C351" s="21" t="n">
        <v>46295</v>
      </c>
      <c r="D351" s="10" t="s">
        <v>208</v>
      </c>
      <c r="E351" s="10" t="s">
        <v>112</v>
      </c>
      <c r="F351" s="10" t="s">
        <v>866</v>
      </c>
      <c r="G351" s="10" t="s">
        <v>142</v>
      </c>
      <c r="H351" s="10"/>
      <c r="I351" s="9"/>
      <c r="J351" s="9"/>
      <c r="K351" s="10" t="s">
        <v>95</v>
      </c>
      <c r="L351" s="10" t="s">
        <v>100</v>
      </c>
      <c r="M351" s="16" t="str">
        <f aca="false">IFERROR(VLOOKUP(N351,Словарь!$A$2:$B$15,2,FALSE()),"Нужно решение")</f>
        <v>Нужно решение</v>
      </c>
      <c r="N351" s="10" t="s">
        <v>812</v>
      </c>
      <c r="O351" s="10"/>
      <c r="P351" s="22" t="n">
        <f aca="true">IF(AND(OR(M351="Не начато",M351="В работе",M351="Нужно решение"),C351&lt;TODAY()),TODAY()-C351,"")</f>
        <v>27</v>
      </c>
      <c r="Q351" s="10"/>
      <c r="R351" s="10"/>
      <c r="S351" s="10" t="s">
        <v>534</v>
      </c>
      <c r="T351" s="10"/>
      <c r="U351" s="10"/>
    </row>
    <row r="352" customFormat="false" ht="23.85" hidden="false" customHeight="false" outlineLevel="0" collapsed="false">
      <c r="A352" s="10" t="n">
        <v>351</v>
      </c>
      <c r="B352" s="10" t="s">
        <v>88</v>
      </c>
      <c r="C352" s="21" t="n">
        <v>46295</v>
      </c>
      <c r="D352" s="10" t="s">
        <v>462</v>
      </c>
      <c r="E352" s="10" t="s">
        <v>113</v>
      </c>
      <c r="F352" s="10" t="s">
        <v>877</v>
      </c>
      <c r="G352" s="10" t="s">
        <v>183</v>
      </c>
      <c r="H352" s="10" t="s">
        <v>878</v>
      </c>
      <c r="I352" s="9"/>
      <c r="J352" s="9"/>
      <c r="K352" s="10" t="s">
        <v>95</v>
      </c>
      <c r="L352" s="10" t="s">
        <v>100</v>
      </c>
      <c r="M352" s="16" t="str">
        <f aca="false">IFERROR(VLOOKUP(N352,Словарь!$A$2:$B$15,2,FALSE()),"Нужно решение")</f>
        <v>Не начато</v>
      </c>
      <c r="N352" s="10" t="s">
        <v>10</v>
      </c>
      <c r="O352" s="10"/>
      <c r="P352" s="22" t="n">
        <f aca="true">IF(AND(OR(M352="Не начато",M352="В работе",M352="Нужно решение"),C352&lt;TODAY()),TODAY()-C352,"")</f>
        <v>27</v>
      </c>
      <c r="Q352" s="10" t="s">
        <v>238</v>
      </c>
      <c r="R352" s="10" t="s">
        <v>487</v>
      </c>
      <c r="S352" s="10"/>
      <c r="T352" s="10" t="s">
        <v>879</v>
      </c>
      <c r="U352" s="10" t="n">
        <v>372</v>
      </c>
    </row>
    <row r="353" customFormat="false" ht="23.85" hidden="false" customHeight="false" outlineLevel="0" collapsed="false">
      <c r="A353" s="10" t="n">
        <v>352</v>
      </c>
      <c r="B353" s="10" t="s">
        <v>88</v>
      </c>
      <c r="C353" s="21" t="n">
        <v>46295</v>
      </c>
      <c r="D353" s="10" t="s">
        <v>880</v>
      </c>
      <c r="E353" s="10" t="s">
        <v>112</v>
      </c>
      <c r="F353" s="10" t="s">
        <v>881</v>
      </c>
      <c r="G353" s="10" t="s">
        <v>245</v>
      </c>
      <c r="H353" s="10"/>
      <c r="I353" s="9" t="n">
        <v>80000</v>
      </c>
      <c r="J353" s="9"/>
      <c r="K353" s="10" t="s">
        <v>95</v>
      </c>
      <c r="L353" s="10" t="s">
        <v>103</v>
      </c>
      <c r="M353" s="16" t="str">
        <f aca="false">IFERROR(VLOOKUP(N353,Словарь!$A$2:$B$15,2,FALSE()),"Нужно решение")</f>
        <v>Не начато</v>
      </c>
      <c r="N353" s="10" t="s">
        <v>10</v>
      </c>
      <c r="O353" s="10"/>
      <c r="P353" s="22" t="n">
        <f aca="true">IF(AND(OR(M353="Не начато",M353="В работе",M353="Нужно решение"),C353&lt;TODAY()),TODAY()-C353,"")</f>
        <v>27</v>
      </c>
      <c r="Q353" s="10" t="s">
        <v>238</v>
      </c>
      <c r="R353" s="10" t="s">
        <v>487</v>
      </c>
      <c r="S353" s="10"/>
      <c r="T353" s="10"/>
      <c r="U353" s="10" t="n">
        <v>370</v>
      </c>
    </row>
    <row r="354" customFormat="false" ht="23.85" hidden="false" customHeight="false" outlineLevel="0" collapsed="false">
      <c r="A354" s="10" t="n">
        <v>353</v>
      </c>
      <c r="B354" s="10" t="s">
        <v>88</v>
      </c>
      <c r="C354" s="21" t="n">
        <v>46295</v>
      </c>
      <c r="D354" s="10" t="s">
        <v>880</v>
      </c>
      <c r="E354" s="10" t="s">
        <v>112</v>
      </c>
      <c r="F354" s="10" t="s">
        <v>882</v>
      </c>
      <c r="G354" s="10" t="s">
        <v>142</v>
      </c>
      <c r="H354" s="10" t="s">
        <v>883</v>
      </c>
      <c r="I354" s="9" t="n">
        <v>200000</v>
      </c>
      <c r="J354" s="9"/>
      <c r="K354" s="10" t="s">
        <v>95</v>
      </c>
      <c r="L354" s="10" t="s">
        <v>103</v>
      </c>
      <c r="M354" s="16" t="str">
        <f aca="false">IFERROR(VLOOKUP(N354,Словарь!$A$2:$B$15,2,FALSE()),"Нужно решение")</f>
        <v>Не начато</v>
      </c>
      <c r="N354" s="10" t="s">
        <v>10</v>
      </c>
      <c r="O354" s="10"/>
      <c r="P354" s="22" t="n">
        <f aca="true">IF(AND(OR(M354="Не начато",M354="В работе",M354="Нужно решение"),C354&lt;TODAY()),TODAY()-C354,"")</f>
        <v>27</v>
      </c>
      <c r="Q354" s="10" t="s">
        <v>238</v>
      </c>
      <c r="R354" s="10" t="s">
        <v>487</v>
      </c>
      <c r="S354" s="10"/>
      <c r="T354" s="10"/>
      <c r="U354" s="10" t="n">
        <v>371</v>
      </c>
    </row>
    <row r="355" customFormat="false" ht="23.85" hidden="false" customHeight="false" outlineLevel="0" collapsed="false">
      <c r="A355" s="10" t="n">
        <v>354</v>
      </c>
      <c r="B355" s="10" t="s">
        <v>88</v>
      </c>
      <c r="C355" s="21" t="n">
        <v>46295</v>
      </c>
      <c r="D355" s="10" t="s">
        <v>407</v>
      </c>
      <c r="E355" s="10" t="s">
        <v>113</v>
      </c>
      <c r="F355" s="10" t="s">
        <v>884</v>
      </c>
      <c r="G355" s="10" t="s">
        <v>142</v>
      </c>
      <c r="H355" s="10" t="s">
        <v>409</v>
      </c>
      <c r="I355" s="9"/>
      <c r="J355" s="9"/>
      <c r="K355" s="10" t="s">
        <v>95</v>
      </c>
      <c r="L355" s="10" t="s">
        <v>101</v>
      </c>
      <c r="M355" s="16" t="str">
        <f aca="false">IFERROR(VLOOKUP(N355,Словарь!$A$2:$B$15,2,FALSE()),"Нужно решение")</f>
        <v>Не начато</v>
      </c>
      <c r="N355" s="10" t="s">
        <v>10</v>
      </c>
      <c r="O355" s="10"/>
      <c r="P355" s="22" t="n">
        <f aca="true">IF(AND(OR(M355="Не начато",M355="В работе",M355="Нужно решение"),C355&lt;TODAY()),TODAY()-C355,"")</f>
        <v>27</v>
      </c>
      <c r="Q355" s="10" t="s">
        <v>238</v>
      </c>
      <c r="R355" s="10" t="s">
        <v>487</v>
      </c>
      <c r="S355" s="10"/>
      <c r="T355" s="10" t="s">
        <v>885</v>
      </c>
      <c r="U355" s="10" t="n">
        <v>373</v>
      </c>
    </row>
    <row r="356" customFormat="false" ht="23.85" hidden="false" customHeight="false" outlineLevel="0" collapsed="false">
      <c r="A356" s="10" t="n">
        <v>355</v>
      </c>
      <c r="B356" s="10" t="s">
        <v>88</v>
      </c>
      <c r="C356" s="21" t="n">
        <v>46295</v>
      </c>
      <c r="D356" s="10" t="s">
        <v>886</v>
      </c>
      <c r="E356" s="10" t="s">
        <v>112</v>
      </c>
      <c r="F356" s="10" t="s">
        <v>728</v>
      </c>
      <c r="G356" s="10" t="s">
        <v>188</v>
      </c>
      <c r="H356" s="10"/>
      <c r="I356" s="9"/>
      <c r="J356" s="9"/>
      <c r="K356" s="10" t="s">
        <v>95</v>
      </c>
      <c r="L356" s="10" t="s">
        <v>101</v>
      </c>
      <c r="M356" s="16" t="str">
        <f aca="false">IFERROR(VLOOKUP(N356,Словарь!$A$2:$B$15,2,FALSE()),"Нужно решение")</f>
        <v>Нужно решение</v>
      </c>
      <c r="N356" s="10" t="s">
        <v>541</v>
      </c>
      <c r="O356" s="10"/>
      <c r="P356" s="22" t="n">
        <f aca="true">IF(AND(OR(M356="Не начато",M356="В работе",M356="Нужно решение"),C356&lt;TODAY()),TODAY()-C356,"")</f>
        <v>27</v>
      </c>
      <c r="Q356" s="10" t="s">
        <v>238</v>
      </c>
      <c r="R356" s="10" t="s">
        <v>487</v>
      </c>
      <c r="S356" s="10"/>
      <c r="T356" s="10" t="s">
        <v>887</v>
      </c>
      <c r="U356" s="10" t="n">
        <v>374</v>
      </c>
    </row>
    <row r="357" customFormat="false" ht="23.85" hidden="false" customHeight="false" outlineLevel="0" collapsed="false">
      <c r="A357" s="10" t="n">
        <v>356</v>
      </c>
      <c r="B357" s="10" t="s">
        <v>88</v>
      </c>
      <c r="C357" s="21" t="n">
        <v>46295</v>
      </c>
      <c r="D357" s="10" t="s">
        <v>886</v>
      </c>
      <c r="E357" s="10" t="s">
        <v>113</v>
      </c>
      <c r="F357" s="10" t="s">
        <v>888</v>
      </c>
      <c r="G357" s="10" t="s">
        <v>142</v>
      </c>
      <c r="H357" s="10" t="s">
        <v>409</v>
      </c>
      <c r="I357" s="9"/>
      <c r="J357" s="9"/>
      <c r="K357" s="10" t="s">
        <v>95</v>
      </c>
      <c r="L357" s="10" t="s">
        <v>101</v>
      </c>
      <c r="M357" s="16" t="str">
        <f aca="false">IFERROR(VLOOKUP(N357,Словарь!$A$2:$B$15,2,FALSE()),"Нужно решение")</f>
        <v>Не начато</v>
      </c>
      <c r="N357" s="10" t="s">
        <v>10</v>
      </c>
      <c r="O357" s="10"/>
      <c r="P357" s="22" t="n">
        <f aca="true">IF(AND(OR(M357="Не начато",M357="В работе",M357="Нужно решение"),C357&lt;TODAY()),TODAY()-C357,"")</f>
        <v>27</v>
      </c>
      <c r="Q357" s="10" t="s">
        <v>238</v>
      </c>
      <c r="R357" s="10" t="s">
        <v>889</v>
      </c>
      <c r="S357" s="10"/>
      <c r="T357" s="10"/>
      <c r="U357" s="10" t="n">
        <v>375</v>
      </c>
    </row>
    <row r="358" customFormat="false" ht="23.85" hidden="false" customHeight="false" outlineLevel="0" collapsed="false">
      <c r="A358" s="10" t="n">
        <v>357</v>
      </c>
      <c r="B358" s="10" t="s">
        <v>88</v>
      </c>
      <c r="C358" s="21" t="n">
        <v>46295</v>
      </c>
      <c r="D358" s="10" t="s">
        <v>886</v>
      </c>
      <c r="E358" s="10" t="s">
        <v>113</v>
      </c>
      <c r="F358" s="10" t="s">
        <v>890</v>
      </c>
      <c r="G358" s="10" t="s">
        <v>142</v>
      </c>
      <c r="H358" s="10"/>
      <c r="I358" s="9" t="n">
        <v>10000</v>
      </c>
      <c r="J358" s="9"/>
      <c r="K358" s="10" t="s">
        <v>95</v>
      </c>
      <c r="L358" s="10" t="s">
        <v>101</v>
      </c>
      <c r="M358" s="16" t="str">
        <f aca="false">IFERROR(VLOOKUP(N358,Словарь!$A$2:$B$15,2,FALSE()),"Нужно решение")</f>
        <v>Не начато</v>
      </c>
      <c r="N358" s="10" t="s">
        <v>10</v>
      </c>
      <c r="O358" s="10"/>
      <c r="P358" s="22" t="n">
        <f aca="true">IF(AND(OR(M358="Не начато",M358="В работе",M358="Нужно решение"),C358&lt;TODAY()),TODAY()-C358,"")</f>
        <v>27</v>
      </c>
      <c r="Q358" s="10" t="s">
        <v>238</v>
      </c>
      <c r="R358" s="10" t="s">
        <v>487</v>
      </c>
      <c r="S358" s="10"/>
      <c r="T358" s="10"/>
      <c r="U358" s="10" t="n">
        <v>376</v>
      </c>
    </row>
    <row r="359" customFormat="false" ht="23.85" hidden="false" customHeight="false" outlineLevel="0" collapsed="false">
      <c r="A359" s="10" t="n">
        <v>358</v>
      </c>
      <c r="B359" s="10" t="s">
        <v>88</v>
      </c>
      <c r="C359" s="21" t="n">
        <v>46295</v>
      </c>
      <c r="D359" s="10" t="s">
        <v>468</v>
      </c>
      <c r="E359" s="10" t="s">
        <v>112</v>
      </c>
      <c r="F359" s="10" t="s">
        <v>891</v>
      </c>
      <c r="G359" s="10" t="s">
        <v>174</v>
      </c>
      <c r="H359" s="10" t="s">
        <v>470</v>
      </c>
      <c r="I359" s="9"/>
      <c r="J359" s="9"/>
      <c r="K359" s="10" t="s">
        <v>96</v>
      </c>
      <c r="L359" s="10" t="s">
        <v>105</v>
      </c>
      <c r="M359" s="16" t="str">
        <f aca="false">IFERROR(VLOOKUP(N359,Словарь!$A$2:$B$15,2,FALSE()),"Нужно решение")</f>
        <v>В работе</v>
      </c>
      <c r="N359" s="10" t="s">
        <v>13</v>
      </c>
      <c r="O359" s="10"/>
      <c r="P359" s="22" t="n">
        <f aca="true">IF(AND(OR(M359="Не начато",M359="В работе",M359="Нужно решение"),C359&lt;TODAY()),TODAY()-C359,"")</f>
        <v>27</v>
      </c>
      <c r="Q359" s="10" t="s">
        <v>238</v>
      </c>
      <c r="R359" s="10" t="s">
        <v>487</v>
      </c>
      <c r="S359" s="10"/>
      <c r="T359" s="10" t="s">
        <v>569</v>
      </c>
      <c r="U359" s="10" t="n">
        <v>377</v>
      </c>
    </row>
    <row r="360" customFormat="false" ht="23.85" hidden="false" customHeight="false" outlineLevel="0" collapsed="false">
      <c r="A360" s="10" t="n">
        <v>359</v>
      </c>
      <c r="B360" s="10" t="s">
        <v>88</v>
      </c>
      <c r="C360" s="21" t="n">
        <v>46295</v>
      </c>
      <c r="D360" s="10" t="s">
        <v>468</v>
      </c>
      <c r="E360" s="10" t="s">
        <v>112</v>
      </c>
      <c r="F360" s="10" t="s">
        <v>892</v>
      </c>
      <c r="G360" s="10" t="s">
        <v>142</v>
      </c>
      <c r="H360" s="10" t="s">
        <v>893</v>
      </c>
      <c r="I360" s="9" t="n">
        <v>10000</v>
      </c>
      <c r="J360" s="9"/>
      <c r="K360" s="10" t="s">
        <v>95</v>
      </c>
      <c r="L360" s="10" t="s">
        <v>100</v>
      </c>
      <c r="M360" s="16" t="str">
        <f aca="false">IFERROR(VLOOKUP(N360,Словарь!$A$2:$B$15,2,FALSE()),"Нужно решение")</f>
        <v>Выполнено, ждёт акта</v>
      </c>
      <c r="N360" s="10" t="s">
        <v>150</v>
      </c>
      <c r="O360" s="10"/>
      <c r="P360" s="22" t="str">
        <f aca="true">IF(AND(OR(M360="Не начато",M360="В работе",M360="Нужно решение"),C360&lt;TODAY()),TODAY()-C360,"")</f>
        <v/>
      </c>
      <c r="Q360" s="10"/>
      <c r="R360" s="10"/>
      <c r="S360" s="10"/>
      <c r="T360" s="10" t="s">
        <v>806</v>
      </c>
      <c r="U360" s="10" t="n">
        <v>378</v>
      </c>
    </row>
    <row r="361" customFormat="false" ht="23.85" hidden="false" customHeight="false" outlineLevel="0" collapsed="false">
      <c r="A361" s="10" t="n">
        <v>360</v>
      </c>
      <c r="B361" s="10" t="s">
        <v>88</v>
      </c>
      <c r="C361" s="21" t="n">
        <v>46295</v>
      </c>
      <c r="D361" s="10" t="s">
        <v>473</v>
      </c>
      <c r="E361" s="10" t="s">
        <v>112</v>
      </c>
      <c r="F361" s="10" t="s">
        <v>894</v>
      </c>
      <c r="G361" s="10" t="s">
        <v>188</v>
      </c>
      <c r="H361" s="10" t="s">
        <v>205</v>
      </c>
      <c r="I361" s="9"/>
      <c r="J361" s="9"/>
      <c r="K361" s="10" t="s">
        <v>96</v>
      </c>
      <c r="L361" s="10" t="s">
        <v>100</v>
      </c>
      <c r="M361" s="16" t="str">
        <f aca="false">IFERROR(VLOOKUP(N361,Словарь!$A$2:$B$15,2,FALSE()),"Нужно решение")</f>
        <v>Нужно решение</v>
      </c>
      <c r="N361" s="10" t="s">
        <v>812</v>
      </c>
      <c r="O361" s="10"/>
      <c r="P361" s="22" t="n">
        <f aca="true">IF(AND(OR(M361="Не начато",M361="В работе",M361="Нужно решение"),C361&lt;TODAY()),TODAY()-C361,"")</f>
        <v>27</v>
      </c>
      <c r="Q361" s="10"/>
      <c r="R361" s="10"/>
      <c r="S361" s="10"/>
      <c r="T361" s="10"/>
      <c r="U361" s="10" t="n">
        <v>379</v>
      </c>
    </row>
    <row r="362" customFormat="false" ht="23.85" hidden="false" customHeight="false" outlineLevel="0" collapsed="false">
      <c r="A362" s="10" t="n">
        <v>361</v>
      </c>
      <c r="B362" s="10" t="s">
        <v>88</v>
      </c>
      <c r="C362" s="21" t="n">
        <v>46295</v>
      </c>
      <c r="D362" s="10" t="s">
        <v>473</v>
      </c>
      <c r="E362" s="10" t="s">
        <v>112</v>
      </c>
      <c r="F362" s="10" t="s">
        <v>895</v>
      </c>
      <c r="G362" s="10" t="s">
        <v>188</v>
      </c>
      <c r="H362" s="10" t="s">
        <v>205</v>
      </c>
      <c r="I362" s="9"/>
      <c r="J362" s="9"/>
      <c r="K362" s="10" t="s">
        <v>96</v>
      </c>
      <c r="L362" s="10" t="s">
        <v>108</v>
      </c>
      <c r="M362" s="16" t="str">
        <f aca="false">IFERROR(VLOOKUP(N362,Словарь!$A$2:$B$15,2,FALSE()),"Нужно решение")</f>
        <v>Выполнено, ждёт акта</v>
      </c>
      <c r="N362" s="10" t="s">
        <v>150</v>
      </c>
      <c r="O362" s="10" t="s">
        <v>151</v>
      </c>
      <c r="P362" s="22" t="str">
        <f aca="true">IF(AND(OR(M362="Не начато",M362="В работе",M362="Нужно решение"),C362&lt;TODAY()),TODAY()-C362,"")</f>
        <v/>
      </c>
      <c r="Q362" s="10"/>
      <c r="R362" s="10"/>
      <c r="S362" s="10" t="s">
        <v>534</v>
      </c>
      <c r="T362" s="10" t="s">
        <v>495</v>
      </c>
      <c r="U362" s="10"/>
    </row>
    <row r="363" customFormat="false" ht="23.85" hidden="false" customHeight="false" outlineLevel="0" collapsed="false">
      <c r="A363" s="10" t="n">
        <v>362</v>
      </c>
      <c r="B363" s="10" t="s">
        <v>88</v>
      </c>
      <c r="C363" s="21" t="n">
        <v>46295</v>
      </c>
      <c r="D363" s="10" t="s">
        <v>896</v>
      </c>
      <c r="E363" s="10" t="s">
        <v>112</v>
      </c>
      <c r="F363" s="10" t="s">
        <v>897</v>
      </c>
      <c r="G363" s="10" t="s">
        <v>142</v>
      </c>
      <c r="H363" s="10" t="s">
        <v>898</v>
      </c>
      <c r="I363" s="9" t="n">
        <v>300000</v>
      </c>
      <c r="J363" s="9"/>
      <c r="K363" s="10" t="s">
        <v>95</v>
      </c>
      <c r="L363" s="10" t="s">
        <v>100</v>
      </c>
      <c r="M363" s="16" t="str">
        <f aca="false">IFERROR(VLOOKUP(N363,Словарь!$A$2:$B$15,2,FALSE()),"Нужно решение")</f>
        <v>Снято с плана</v>
      </c>
      <c r="N363" s="10" t="s">
        <v>164</v>
      </c>
      <c r="O363" s="10"/>
      <c r="P363" s="22" t="str">
        <f aca="true">IF(AND(OR(M363="Не начато",M363="В работе",M363="Нужно решение"),C363&lt;TODAY()),TODAY()-C363,"")</f>
        <v/>
      </c>
      <c r="Q363" s="10" t="s">
        <v>238</v>
      </c>
      <c r="R363" s="10" t="s">
        <v>487</v>
      </c>
      <c r="S363" s="10"/>
      <c r="T363" s="10" t="s">
        <v>590</v>
      </c>
      <c r="U363" s="10" t="n">
        <v>380</v>
      </c>
    </row>
    <row r="364" customFormat="false" ht="23.85" hidden="false" customHeight="false" outlineLevel="0" collapsed="false">
      <c r="A364" s="10" t="n">
        <v>363</v>
      </c>
      <c r="B364" s="10" t="s">
        <v>88</v>
      </c>
      <c r="C364" s="21" t="n">
        <v>46295</v>
      </c>
      <c r="D364" s="10" t="s">
        <v>899</v>
      </c>
      <c r="E364" s="10" t="s">
        <v>112</v>
      </c>
      <c r="F364" s="10" t="s">
        <v>900</v>
      </c>
      <c r="G364" s="10" t="s">
        <v>188</v>
      </c>
      <c r="H364" s="10" t="s">
        <v>640</v>
      </c>
      <c r="I364" s="9"/>
      <c r="J364" s="9"/>
      <c r="K364" s="10" t="s">
        <v>96</v>
      </c>
      <c r="L364" s="10" t="s">
        <v>100</v>
      </c>
      <c r="M364" s="16" t="str">
        <f aca="false">IFERROR(VLOOKUP(N364,Словарь!$A$2:$B$15,2,FALSE()),"Нужно решение")</f>
        <v>Не начато</v>
      </c>
      <c r="N364" s="10" t="s">
        <v>10</v>
      </c>
      <c r="O364" s="10"/>
      <c r="P364" s="22" t="n">
        <f aca="true">IF(AND(OR(M364="Не начато",M364="В работе",M364="Нужно решение"),C364&lt;TODAY()),TODAY()-C364,"")</f>
        <v>27</v>
      </c>
      <c r="Q364" s="10" t="s">
        <v>238</v>
      </c>
      <c r="R364" s="10" t="s">
        <v>487</v>
      </c>
      <c r="S364" s="10"/>
      <c r="T364" s="10"/>
      <c r="U364" s="10" t="n">
        <v>381</v>
      </c>
    </row>
    <row r="365" customFormat="false" ht="23.85" hidden="false" customHeight="false" outlineLevel="0" collapsed="false">
      <c r="A365" s="10" t="n">
        <v>364</v>
      </c>
      <c r="B365" s="10" t="s">
        <v>88</v>
      </c>
      <c r="C365" s="21" t="n">
        <v>46295</v>
      </c>
      <c r="D365" s="10" t="s">
        <v>261</v>
      </c>
      <c r="E365" s="10" t="s">
        <v>112</v>
      </c>
      <c r="F365" s="10" t="s">
        <v>901</v>
      </c>
      <c r="G365" s="10" t="s">
        <v>188</v>
      </c>
      <c r="H365" s="10" t="s">
        <v>902</v>
      </c>
      <c r="I365" s="9" t="n">
        <v>250000</v>
      </c>
      <c r="J365" s="9"/>
      <c r="K365" s="10" t="s">
        <v>96</v>
      </c>
      <c r="L365" s="10" t="s">
        <v>107</v>
      </c>
      <c r="M365" s="16" t="str">
        <f aca="false">IFERROR(VLOOKUP(N365,Словарь!$A$2:$B$15,2,FALSE()),"Нужно решение")</f>
        <v>Выполнено, ждёт акта</v>
      </c>
      <c r="N365" s="10" t="s">
        <v>150</v>
      </c>
      <c r="O365" s="10" t="s">
        <v>151</v>
      </c>
      <c r="P365" s="22" t="str">
        <f aca="true">IF(AND(OR(M365="Не начато",M365="В работе",M365="Нужно решение"),C365&lt;TODAY()),TODAY()-C365,"")</f>
        <v/>
      </c>
      <c r="Q365" s="10"/>
      <c r="R365" s="10"/>
      <c r="S365" s="10"/>
      <c r="T365" s="10" t="s">
        <v>495</v>
      </c>
      <c r="U365" s="10" t="n">
        <v>383</v>
      </c>
    </row>
    <row r="366" customFormat="false" ht="35.05" hidden="false" customHeight="false" outlineLevel="0" collapsed="false">
      <c r="A366" s="10" t="n">
        <v>365</v>
      </c>
      <c r="B366" s="10" t="s">
        <v>88</v>
      </c>
      <c r="C366" s="21" t="n">
        <v>46295</v>
      </c>
      <c r="D366" s="10" t="s">
        <v>903</v>
      </c>
      <c r="E366" s="10" t="s">
        <v>112</v>
      </c>
      <c r="F366" s="10" t="s">
        <v>406</v>
      </c>
      <c r="G366" s="10" t="s">
        <v>136</v>
      </c>
      <c r="H366" s="10"/>
      <c r="I366" s="9" t="n">
        <v>125000</v>
      </c>
      <c r="J366" s="9"/>
      <c r="K366" s="10" t="s">
        <v>96</v>
      </c>
      <c r="L366" s="10" t="s">
        <v>107</v>
      </c>
      <c r="M366" s="16" t="str">
        <f aca="false">IFERROR(VLOOKUP(N366,Словарь!$A$2:$B$15,2,FALSE()),"Нужно решение")</f>
        <v>Выполнено, ждёт акта</v>
      </c>
      <c r="N366" s="10" t="s">
        <v>150</v>
      </c>
      <c r="O366" s="10" t="s">
        <v>491</v>
      </c>
      <c r="P366" s="22" t="str">
        <f aca="true">IF(AND(OR(M366="Не начато",M366="В работе",M366="Нужно решение"),C366&lt;TODAY()),TODAY()-C366,"")</f>
        <v/>
      </c>
      <c r="Q366" s="10"/>
      <c r="R366" s="10"/>
      <c r="S366" s="10"/>
      <c r="T366" s="10" t="s">
        <v>809</v>
      </c>
      <c r="U366" s="10" t="n">
        <v>382</v>
      </c>
    </row>
    <row r="367" customFormat="false" ht="35.05" hidden="false" customHeight="false" outlineLevel="0" collapsed="false">
      <c r="A367" s="10" t="n">
        <v>366</v>
      </c>
      <c r="B367" s="10" t="s">
        <v>88</v>
      </c>
      <c r="C367" s="21" t="n">
        <v>46295</v>
      </c>
      <c r="D367" s="10" t="s">
        <v>904</v>
      </c>
      <c r="E367" s="10" t="s">
        <v>112</v>
      </c>
      <c r="F367" s="10" t="s">
        <v>905</v>
      </c>
      <c r="G367" s="10" t="s">
        <v>188</v>
      </c>
      <c r="H367" s="10" t="s">
        <v>906</v>
      </c>
      <c r="I367" s="9"/>
      <c r="J367" s="9"/>
      <c r="K367" s="10" t="s">
        <v>95</v>
      </c>
      <c r="L367" s="10" t="s">
        <v>100</v>
      </c>
      <c r="M367" s="16" t="str">
        <f aca="false">IFERROR(VLOOKUP(N367,Словарь!$A$2:$B$15,2,FALSE()),"Нужно решение")</f>
        <v>Нужно решение</v>
      </c>
      <c r="N367" s="10" t="s">
        <v>812</v>
      </c>
      <c r="O367" s="10"/>
      <c r="P367" s="22" t="n">
        <f aca="true">IF(AND(OR(M367="Не начато",M367="В работе",M367="Нужно решение"),C367&lt;TODAY()),TODAY()-C367,"")</f>
        <v>27</v>
      </c>
      <c r="Q367" s="10"/>
      <c r="R367" s="10"/>
      <c r="S367" s="10"/>
      <c r="T367" s="10" t="s">
        <v>907</v>
      </c>
      <c r="U367" s="10" t="n">
        <v>385</v>
      </c>
    </row>
    <row r="368" customFormat="false" ht="23.85" hidden="false" customHeight="false" outlineLevel="0" collapsed="false">
      <c r="A368" s="10" t="n">
        <v>367</v>
      </c>
      <c r="B368" s="10" t="s">
        <v>88</v>
      </c>
      <c r="C368" s="21" t="n">
        <v>46295</v>
      </c>
      <c r="D368" s="10" t="s">
        <v>314</v>
      </c>
      <c r="E368" s="10" t="s">
        <v>112</v>
      </c>
      <c r="F368" s="10" t="s">
        <v>908</v>
      </c>
      <c r="G368" s="10" t="s">
        <v>188</v>
      </c>
      <c r="H368" s="10" t="s">
        <v>909</v>
      </c>
      <c r="I368" s="9"/>
      <c r="J368" s="9"/>
      <c r="K368" s="10" t="s">
        <v>95</v>
      </c>
      <c r="L368" s="10" t="s">
        <v>100</v>
      </c>
      <c r="M368" s="16" t="str">
        <f aca="false">IFERROR(VLOOKUP(N368,Словарь!$A$2:$B$15,2,FALSE()),"Нужно решение")</f>
        <v>Выполнено, ждёт акта</v>
      </c>
      <c r="N368" s="10" t="s">
        <v>150</v>
      </c>
      <c r="O368" s="10"/>
      <c r="P368" s="22" t="str">
        <f aca="true">IF(AND(OR(M368="Не начато",M368="В работе",M368="Нужно решение"),C368&lt;TODAY()),TODAY()-C368,"")</f>
        <v/>
      </c>
      <c r="Q368" s="10"/>
      <c r="R368" s="10"/>
      <c r="S368" s="10"/>
      <c r="T368" s="10" t="s">
        <v>495</v>
      </c>
      <c r="U368" s="10" t="n">
        <v>384</v>
      </c>
    </row>
    <row r="369" customFormat="false" ht="23.85" hidden="false" customHeight="false" outlineLevel="0" collapsed="false">
      <c r="A369" s="10" t="n">
        <v>368</v>
      </c>
      <c r="B369" s="10" t="s">
        <v>88</v>
      </c>
      <c r="C369" s="21" t="n">
        <v>46295</v>
      </c>
      <c r="D369" s="10" t="s">
        <v>910</v>
      </c>
      <c r="E369" s="10" t="s">
        <v>113</v>
      </c>
      <c r="F369" s="10" t="s">
        <v>911</v>
      </c>
      <c r="G369" s="10" t="s">
        <v>174</v>
      </c>
      <c r="H369" s="10" t="s">
        <v>912</v>
      </c>
      <c r="I369" s="9"/>
      <c r="J369" s="9"/>
      <c r="K369" s="10" t="s">
        <v>95</v>
      </c>
      <c r="L369" s="10" t="s">
        <v>101</v>
      </c>
      <c r="M369" s="16" t="str">
        <f aca="false">IFERROR(VLOOKUP(N369,Словарь!$A$2:$B$15,2,FALSE()),"Нужно решение")</f>
        <v>Не начато</v>
      </c>
      <c r="N369" s="10" t="s">
        <v>10</v>
      </c>
      <c r="O369" s="10"/>
      <c r="P369" s="22" t="n">
        <f aca="true">IF(AND(OR(M369="Не начато",M369="В работе",M369="Нужно решение"),C369&lt;TODAY()),TODAY()-C369,"")</f>
        <v>27</v>
      </c>
      <c r="Q369" s="10" t="s">
        <v>238</v>
      </c>
      <c r="R369" s="10" t="s">
        <v>487</v>
      </c>
      <c r="S369" s="10"/>
      <c r="T369" s="10" t="s">
        <v>913</v>
      </c>
      <c r="U369" s="10" t="n">
        <v>389</v>
      </c>
    </row>
    <row r="370" customFormat="false" ht="23.85" hidden="false" customHeight="false" outlineLevel="0" collapsed="false">
      <c r="A370" s="10" t="n">
        <v>369</v>
      </c>
      <c r="B370" s="10" t="s">
        <v>88</v>
      </c>
      <c r="C370" s="21" t="n">
        <v>46295</v>
      </c>
      <c r="D370" s="10" t="s">
        <v>417</v>
      </c>
      <c r="E370" s="10" t="s">
        <v>113</v>
      </c>
      <c r="F370" s="10" t="s">
        <v>914</v>
      </c>
      <c r="G370" s="10" t="s">
        <v>142</v>
      </c>
      <c r="H370" s="10" t="s">
        <v>915</v>
      </c>
      <c r="I370" s="9" t="n">
        <v>200000</v>
      </c>
      <c r="J370" s="9"/>
      <c r="K370" s="10" t="s">
        <v>95</v>
      </c>
      <c r="L370" s="10" t="s">
        <v>101</v>
      </c>
      <c r="M370" s="16" t="str">
        <f aca="false">IFERROR(VLOOKUP(N370,Словарь!$A$2:$B$15,2,FALSE()),"Нужно решение")</f>
        <v>Не начато</v>
      </c>
      <c r="N370" s="10" t="s">
        <v>10</v>
      </c>
      <c r="O370" s="10"/>
      <c r="P370" s="22" t="n">
        <f aca="true">IF(AND(OR(M370="Не начато",M370="В работе",M370="Нужно решение"),C370&lt;TODAY()),TODAY()-C370,"")</f>
        <v>27</v>
      </c>
      <c r="Q370" s="10" t="s">
        <v>238</v>
      </c>
      <c r="R370" s="10" t="s">
        <v>487</v>
      </c>
      <c r="S370" s="10"/>
      <c r="T370" s="10"/>
      <c r="U370" s="10" t="n">
        <v>386</v>
      </c>
    </row>
    <row r="371" customFormat="false" ht="35.05" hidden="false" customHeight="false" outlineLevel="0" collapsed="false">
      <c r="A371" s="10" t="n">
        <v>370</v>
      </c>
      <c r="B371" s="10" t="s">
        <v>88</v>
      </c>
      <c r="C371" s="21" t="n">
        <v>46295</v>
      </c>
      <c r="D371" s="10" t="s">
        <v>417</v>
      </c>
      <c r="E371" s="10" t="s">
        <v>113</v>
      </c>
      <c r="F371" s="10" t="s">
        <v>916</v>
      </c>
      <c r="G371" s="10" t="s">
        <v>188</v>
      </c>
      <c r="H371" s="10" t="s">
        <v>917</v>
      </c>
      <c r="I371" s="9"/>
      <c r="J371" s="9"/>
      <c r="K371" s="10" t="s">
        <v>96</v>
      </c>
      <c r="L371" s="10" t="s">
        <v>101</v>
      </c>
      <c r="M371" s="16" t="str">
        <f aca="false">IFERROR(VLOOKUP(N371,Словарь!$A$2:$B$15,2,FALSE()),"Нужно решение")</f>
        <v>Выполнено, ждёт акта</v>
      </c>
      <c r="N371" s="10" t="s">
        <v>150</v>
      </c>
      <c r="O371" s="10" t="s">
        <v>151</v>
      </c>
      <c r="P371" s="22" t="str">
        <f aca="true">IF(AND(OR(M371="Не начато",M371="В работе",M371="Нужно решение"),C371&lt;TODAY()),TODAY()-C371,"")</f>
        <v/>
      </c>
      <c r="Q371" s="10"/>
      <c r="R371" s="10"/>
      <c r="S371" s="10"/>
      <c r="T371" s="10" t="s">
        <v>495</v>
      </c>
      <c r="U371" s="10" t="n">
        <v>387</v>
      </c>
    </row>
    <row r="372" customFormat="false" ht="35.05" hidden="false" customHeight="false" outlineLevel="0" collapsed="false">
      <c r="A372" s="10" t="n">
        <v>371</v>
      </c>
      <c r="B372" s="10" t="s">
        <v>88</v>
      </c>
      <c r="C372" s="21" t="n">
        <v>46295</v>
      </c>
      <c r="D372" s="10" t="s">
        <v>417</v>
      </c>
      <c r="E372" s="10" t="s">
        <v>113</v>
      </c>
      <c r="F372" s="10" t="s">
        <v>918</v>
      </c>
      <c r="G372" s="10" t="s">
        <v>245</v>
      </c>
      <c r="H372" s="10" t="s">
        <v>919</v>
      </c>
      <c r="I372" s="9" t="n">
        <v>160000</v>
      </c>
      <c r="J372" s="9"/>
      <c r="K372" s="10" t="s">
        <v>95</v>
      </c>
      <c r="L372" s="10" t="s">
        <v>109</v>
      </c>
      <c r="M372" s="16" t="str">
        <f aca="false">IFERROR(VLOOKUP(N372,Словарь!$A$2:$B$15,2,FALSE()),"Нужно решение")</f>
        <v>Выполнено, ждёт акта</v>
      </c>
      <c r="N372" s="10" t="s">
        <v>150</v>
      </c>
      <c r="O372" s="10"/>
      <c r="P372" s="22" t="str">
        <f aca="true">IF(AND(OR(M372="Не начато",M372="В работе",M372="Нужно решение"),C372&lt;TODAY()),TODAY()-C372,"")</f>
        <v/>
      </c>
      <c r="Q372" s="10" t="s">
        <v>238</v>
      </c>
      <c r="R372" s="10" t="s">
        <v>920</v>
      </c>
      <c r="S372" s="10"/>
      <c r="T372" s="10" t="s">
        <v>806</v>
      </c>
      <c r="U372" s="10" t="n">
        <v>388</v>
      </c>
    </row>
    <row r="373" customFormat="false" ht="23.85" hidden="false" customHeight="false" outlineLevel="0" collapsed="false">
      <c r="A373" s="10" t="n">
        <v>372</v>
      </c>
      <c r="B373" s="10" t="s">
        <v>88</v>
      </c>
      <c r="C373" s="21" t="n">
        <v>46295</v>
      </c>
      <c r="D373" s="10" t="s">
        <v>264</v>
      </c>
      <c r="E373" s="10" t="s">
        <v>113</v>
      </c>
      <c r="F373" s="10" t="s">
        <v>921</v>
      </c>
      <c r="G373" s="10" t="s">
        <v>188</v>
      </c>
      <c r="H373" s="10" t="s">
        <v>922</v>
      </c>
      <c r="I373" s="9"/>
      <c r="J373" s="9"/>
      <c r="K373" s="10" t="s">
        <v>95</v>
      </c>
      <c r="L373" s="10" t="s">
        <v>100</v>
      </c>
      <c r="M373" s="16" t="str">
        <f aca="false">IFERROR(VLOOKUP(N373,Словарь!$A$2:$B$15,2,FALSE()),"Нужно решение")</f>
        <v>Не начато</v>
      </c>
      <c r="N373" s="10" t="s">
        <v>10</v>
      </c>
      <c r="O373" s="10"/>
      <c r="P373" s="22" t="n">
        <f aca="true">IF(AND(OR(M373="Не начато",M373="В работе",M373="Нужно решение"),C373&lt;TODAY()),TODAY()-C373,"")</f>
        <v>27</v>
      </c>
      <c r="Q373" s="10" t="s">
        <v>238</v>
      </c>
      <c r="R373" s="10" t="s">
        <v>487</v>
      </c>
      <c r="S373" s="10"/>
      <c r="T373" s="10"/>
      <c r="U373" s="10" t="n">
        <v>391</v>
      </c>
    </row>
    <row r="374" customFormat="false" ht="23.85" hidden="false" customHeight="false" outlineLevel="0" collapsed="false">
      <c r="A374" s="10" t="n">
        <v>373</v>
      </c>
      <c r="B374" s="10" t="s">
        <v>88</v>
      </c>
      <c r="C374" s="21" t="n">
        <v>46295</v>
      </c>
      <c r="D374" s="10" t="s">
        <v>264</v>
      </c>
      <c r="E374" s="10" t="s">
        <v>113</v>
      </c>
      <c r="F374" s="10" t="s">
        <v>461</v>
      </c>
      <c r="G374" s="10" t="s">
        <v>188</v>
      </c>
      <c r="H374" s="10"/>
      <c r="I374" s="9"/>
      <c r="J374" s="9"/>
      <c r="K374" s="10" t="s">
        <v>95</v>
      </c>
      <c r="L374" s="10" t="s">
        <v>100</v>
      </c>
      <c r="M374" s="16" t="str">
        <f aca="false">IFERROR(VLOOKUP(N374,Словарь!$A$2:$B$15,2,FALSE()),"Нужно решение")</f>
        <v>Выполнено, ждёт акта</v>
      </c>
      <c r="N374" s="10" t="s">
        <v>150</v>
      </c>
      <c r="O374" s="10"/>
      <c r="P374" s="22" t="str">
        <f aca="true">IF(AND(OR(M374="Не начато",M374="В работе",M374="Нужно решение"),C374&lt;TODAY()),TODAY()-C374,"")</f>
        <v/>
      </c>
      <c r="Q374" s="10" t="s">
        <v>238</v>
      </c>
      <c r="R374" s="10" t="s">
        <v>487</v>
      </c>
      <c r="S374" s="10"/>
      <c r="T374" s="10" t="s">
        <v>319</v>
      </c>
      <c r="U374" s="10" t="n">
        <v>392</v>
      </c>
    </row>
    <row r="375" customFormat="false" ht="23.85" hidden="false" customHeight="false" outlineLevel="0" collapsed="false">
      <c r="A375" s="10" t="n">
        <v>374</v>
      </c>
      <c r="B375" s="10" t="s">
        <v>88</v>
      </c>
      <c r="C375" s="21" t="n">
        <v>46295</v>
      </c>
      <c r="D375" s="10" t="s">
        <v>211</v>
      </c>
      <c r="E375" s="10" t="s">
        <v>113</v>
      </c>
      <c r="F375" s="10" t="s">
        <v>923</v>
      </c>
      <c r="G375" s="10" t="s">
        <v>188</v>
      </c>
      <c r="H375" s="10"/>
      <c r="I375" s="9"/>
      <c r="J375" s="9"/>
      <c r="K375" s="10" t="s">
        <v>95</v>
      </c>
      <c r="L375" s="10" t="s">
        <v>101</v>
      </c>
      <c r="M375" s="16" t="str">
        <f aca="false">IFERROR(VLOOKUP(N375,Словарь!$A$2:$B$15,2,FALSE()),"Нужно решение")</f>
        <v>Не начато</v>
      </c>
      <c r="N375" s="10" t="s">
        <v>10</v>
      </c>
      <c r="O375" s="10"/>
      <c r="P375" s="22" t="n">
        <f aca="true">IF(AND(OR(M375="Не начато",M375="В работе",M375="Нужно решение"),C375&lt;TODAY()),TODAY()-C375,"")</f>
        <v>27</v>
      </c>
      <c r="Q375" s="10" t="s">
        <v>238</v>
      </c>
      <c r="R375" s="10" t="s">
        <v>487</v>
      </c>
      <c r="S375" s="10"/>
      <c r="T375" s="10"/>
      <c r="U375" s="10" t="n">
        <v>390</v>
      </c>
    </row>
    <row r="376" customFormat="false" ht="23.85" hidden="false" customHeight="false" outlineLevel="0" collapsed="false">
      <c r="A376" s="10" t="n">
        <v>375</v>
      </c>
      <c r="B376" s="10" t="s">
        <v>88</v>
      </c>
      <c r="C376" s="21" t="n">
        <v>46295</v>
      </c>
      <c r="D376" s="10" t="s">
        <v>924</v>
      </c>
      <c r="E376" s="10" t="s">
        <v>113</v>
      </c>
      <c r="F376" s="10" t="s">
        <v>925</v>
      </c>
      <c r="G376" s="10" t="s">
        <v>174</v>
      </c>
      <c r="H376" s="10" t="s">
        <v>926</v>
      </c>
      <c r="I376" s="9"/>
      <c r="J376" s="9"/>
      <c r="K376" s="10" t="s">
        <v>96</v>
      </c>
      <c r="L376" s="10" t="s">
        <v>101</v>
      </c>
      <c r="M376" s="16" t="str">
        <f aca="false">IFERROR(VLOOKUP(N376,Словарь!$A$2:$B$15,2,FALSE()),"Нужно решение")</f>
        <v>Выполнено, ждёт акта</v>
      </c>
      <c r="N376" s="10" t="s">
        <v>150</v>
      </c>
      <c r="O376" s="10" t="s">
        <v>171</v>
      </c>
      <c r="P376" s="22" t="str">
        <f aca="true">IF(AND(OR(M376="Не начато",M376="В работе",M376="Нужно решение"),C376&lt;TODAY()),TODAY()-C376,"")</f>
        <v/>
      </c>
      <c r="Q376" s="10" t="s">
        <v>238</v>
      </c>
      <c r="R376" s="10" t="s">
        <v>487</v>
      </c>
      <c r="S376" s="10"/>
      <c r="T376" s="10" t="s">
        <v>495</v>
      </c>
      <c r="U376" s="10" t="n">
        <v>393</v>
      </c>
    </row>
    <row r="377" customFormat="false" ht="23.85" hidden="false" customHeight="false" outlineLevel="0" collapsed="false">
      <c r="A377" s="10" t="n">
        <v>376</v>
      </c>
      <c r="B377" s="10" t="s">
        <v>89</v>
      </c>
      <c r="C377" s="21" t="n">
        <v>46326</v>
      </c>
      <c r="D377" s="10" t="s">
        <v>927</v>
      </c>
      <c r="E377" s="10" t="s">
        <v>112</v>
      </c>
      <c r="F377" s="10" t="s">
        <v>928</v>
      </c>
      <c r="G377" s="10" t="s">
        <v>142</v>
      </c>
      <c r="H377" s="10" t="s">
        <v>929</v>
      </c>
      <c r="I377" s="9"/>
      <c r="J377" s="9"/>
      <c r="K377" s="10" t="s">
        <v>96</v>
      </c>
      <c r="L377" s="10" t="s">
        <v>105</v>
      </c>
      <c r="M377" s="16" t="str">
        <f aca="false">IFERROR(VLOOKUP(N377,Словарь!$A$2:$B$15,2,FALSE()),"Нужно решение")</f>
        <v>Выполнено, ждёт акта</v>
      </c>
      <c r="N377" s="10" t="s">
        <v>150</v>
      </c>
      <c r="O377" s="10" t="s">
        <v>171</v>
      </c>
      <c r="P377" s="22" t="str">
        <f aca="true">IF(AND(OR(M377="Не начато",M377="В работе",M377="Нужно решение"),C377&lt;TODAY()),TODAY()-C377,"")</f>
        <v/>
      </c>
      <c r="Q377" s="10" t="s">
        <v>238</v>
      </c>
      <c r="R377" s="10" t="s">
        <v>930</v>
      </c>
      <c r="S377" s="10"/>
      <c r="T377" s="10" t="s">
        <v>495</v>
      </c>
      <c r="U377" s="10" t="n">
        <v>396</v>
      </c>
    </row>
    <row r="378" customFormat="false" ht="23.85" hidden="false" customHeight="false" outlineLevel="0" collapsed="false">
      <c r="A378" s="10" t="n">
        <v>377</v>
      </c>
      <c r="B378" s="10" t="s">
        <v>89</v>
      </c>
      <c r="C378" s="21" t="n">
        <v>46326</v>
      </c>
      <c r="D378" s="10" t="s">
        <v>501</v>
      </c>
      <c r="E378" s="10" t="s">
        <v>112</v>
      </c>
      <c r="F378" s="10" t="s">
        <v>931</v>
      </c>
      <c r="G378" s="10" t="s">
        <v>245</v>
      </c>
      <c r="H378" s="10" t="s">
        <v>932</v>
      </c>
      <c r="I378" s="9" t="n">
        <v>500</v>
      </c>
      <c r="J378" s="9"/>
      <c r="K378" s="10" t="s">
        <v>96</v>
      </c>
      <c r="L378" s="10" t="s">
        <v>106</v>
      </c>
      <c r="M378" s="16" t="str">
        <f aca="false">IFERROR(VLOOKUP(N378,Словарь!$A$2:$B$15,2,FALSE()),"Нужно решение")</f>
        <v>В работе</v>
      </c>
      <c r="N378" s="10" t="s">
        <v>505</v>
      </c>
      <c r="O378" s="10"/>
      <c r="P378" s="22" t="str">
        <f aca="true">IF(AND(OR(M378="Не начато",M378="В работе",M378="Нужно решение"),C378&lt;TODAY()),TODAY()-C378,"")</f>
        <v/>
      </c>
      <c r="Q378" s="10" t="s">
        <v>238</v>
      </c>
      <c r="R378" s="10" t="s">
        <v>933</v>
      </c>
      <c r="S378" s="10"/>
      <c r="T378" s="10" t="s">
        <v>934</v>
      </c>
      <c r="U378" s="10" t="n">
        <v>397</v>
      </c>
    </row>
    <row r="379" customFormat="false" ht="23.85" hidden="false" customHeight="false" outlineLevel="0" collapsed="false">
      <c r="A379" s="10" t="n">
        <v>378</v>
      </c>
      <c r="B379" s="10" t="s">
        <v>89</v>
      </c>
      <c r="C379" s="21" t="n">
        <v>46326</v>
      </c>
      <c r="D379" s="10" t="s">
        <v>510</v>
      </c>
      <c r="E379" s="10" t="s">
        <v>112</v>
      </c>
      <c r="F379" s="10" t="s">
        <v>935</v>
      </c>
      <c r="G379" s="10" t="s">
        <v>174</v>
      </c>
      <c r="H379" s="10" t="s">
        <v>936</v>
      </c>
      <c r="I379" s="9"/>
      <c r="J379" s="9"/>
      <c r="K379" s="10" t="s">
        <v>96</v>
      </c>
      <c r="L379" s="10" t="s">
        <v>102</v>
      </c>
      <c r="M379" s="16" t="str">
        <f aca="false">IFERROR(VLOOKUP(N379,Словарь!$A$2:$B$15,2,FALSE()),"Нужно решение")</f>
        <v>Выполнено, ждёт акта</v>
      </c>
      <c r="N379" s="10" t="s">
        <v>150</v>
      </c>
      <c r="O379" s="10" t="s">
        <v>151</v>
      </c>
      <c r="P379" s="22" t="str">
        <f aca="true">IF(AND(OR(M379="Не начато",M379="В работе",M379="Нужно решение"),C379&lt;TODAY()),TODAY()-C379,"")</f>
        <v/>
      </c>
      <c r="Q379" s="10" t="s">
        <v>238</v>
      </c>
      <c r="R379" s="10" t="s">
        <v>930</v>
      </c>
      <c r="S379" s="10"/>
      <c r="T379" s="10" t="s">
        <v>495</v>
      </c>
      <c r="U379" s="10" t="n">
        <v>398</v>
      </c>
    </row>
    <row r="380" customFormat="false" ht="23.85" hidden="false" customHeight="false" outlineLevel="0" collapsed="false">
      <c r="A380" s="10" t="n">
        <v>379</v>
      </c>
      <c r="B380" s="10" t="s">
        <v>89</v>
      </c>
      <c r="C380" s="21" t="n">
        <v>46326</v>
      </c>
      <c r="D380" s="10" t="s">
        <v>510</v>
      </c>
      <c r="E380" s="10" t="s">
        <v>112</v>
      </c>
      <c r="F380" s="10" t="s">
        <v>937</v>
      </c>
      <c r="G380" s="10" t="s">
        <v>174</v>
      </c>
      <c r="H380" s="10" t="s">
        <v>938</v>
      </c>
      <c r="I380" s="9"/>
      <c r="J380" s="9"/>
      <c r="K380" s="10" t="s">
        <v>95</v>
      </c>
      <c r="L380" s="10" t="s">
        <v>102</v>
      </c>
      <c r="M380" s="16" t="str">
        <f aca="false">IFERROR(VLOOKUP(N380,Словарь!$A$2:$B$15,2,FALSE()),"Нужно решение")</f>
        <v>Выполнено, ждёт акта</v>
      </c>
      <c r="N380" s="10" t="s">
        <v>150</v>
      </c>
      <c r="O380" s="10"/>
      <c r="P380" s="22" t="str">
        <f aca="true">IF(AND(OR(M380="Не начато",M380="В работе",M380="Нужно решение"),C380&lt;TODAY()),TODAY()-C380,"")</f>
        <v/>
      </c>
      <c r="Q380" s="10" t="s">
        <v>238</v>
      </c>
      <c r="R380" s="10" t="s">
        <v>930</v>
      </c>
      <c r="S380" s="10"/>
      <c r="T380" s="10" t="s">
        <v>806</v>
      </c>
      <c r="U380" s="10" t="n">
        <v>399</v>
      </c>
    </row>
    <row r="381" customFormat="false" ht="23.85" hidden="false" customHeight="false" outlineLevel="0" collapsed="false">
      <c r="A381" s="10" t="n">
        <v>380</v>
      </c>
      <c r="B381" s="10" t="s">
        <v>89</v>
      </c>
      <c r="C381" s="21" t="n">
        <v>46326</v>
      </c>
      <c r="D381" s="10" t="s">
        <v>134</v>
      </c>
      <c r="E381" s="10" t="s">
        <v>112</v>
      </c>
      <c r="F381" s="10" t="s">
        <v>521</v>
      </c>
      <c r="G381" s="10" t="s">
        <v>169</v>
      </c>
      <c r="H381" s="10" t="s">
        <v>939</v>
      </c>
      <c r="I381" s="9"/>
      <c r="J381" s="9"/>
      <c r="K381" s="10" t="s">
        <v>96</v>
      </c>
      <c r="L381" s="10" t="s">
        <v>102</v>
      </c>
      <c r="M381" s="16" t="str">
        <f aca="false">IFERROR(VLOOKUP(N381,Словарь!$A$2:$B$15,2,FALSE()),"Нужно решение")</f>
        <v>Отложено на зиму</v>
      </c>
      <c r="N381" s="10" t="s">
        <v>22</v>
      </c>
      <c r="O381" s="10"/>
      <c r="P381" s="22" t="str">
        <f aca="true">IF(AND(OR(M381="Не начато",M381="В работе",M381="Нужно решение"),C381&lt;TODAY()),TODAY()-C381,"")</f>
        <v/>
      </c>
      <c r="Q381" s="10" t="s">
        <v>238</v>
      </c>
      <c r="R381" s="10" t="s">
        <v>930</v>
      </c>
      <c r="S381" s="10"/>
      <c r="T381" s="10" t="s">
        <v>522</v>
      </c>
      <c r="U381" s="10" t="n">
        <v>400</v>
      </c>
    </row>
    <row r="382" customFormat="false" ht="23.85" hidden="false" customHeight="false" outlineLevel="0" collapsed="false">
      <c r="A382" s="10" t="n">
        <v>381</v>
      </c>
      <c r="B382" s="10" t="s">
        <v>89</v>
      </c>
      <c r="C382" s="21" t="n">
        <v>46326</v>
      </c>
      <c r="D382" s="10" t="s">
        <v>134</v>
      </c>
      <c r="E382" s="10" t="s">
        <v>112</v>
      </c>
      <c r="F382" s="10" t="s">
        <v>940</v>
      </c>
      <c r="G382" s="10" t="s">
        <v>192</v>
      </c>
      <c r="H382" s="10" t="s">
        <v>941</v>
      </c>
      <c r="I382" s="9" t="n">
        <v>17000</v>
      </c>
      <c r="J382" s="9"/>
      <c r="K382" s="10" t="s">
        <v>95</v>
      </c>
      <c r="L382" s="10" t="s">
        <v>102</v>
      </c>
      <c r="M382" s="16" t="str">
        <f aca="false">IFERROR(VLOOKUP(N382,Словарь!$A$2:$B$15,2,FALSE()),"Нужно решение")</f>
        <v>Не начато</v>
      </c>
      <c r="N382" s="10" t="s">
        <v>10</v>
      </c>
      <c r="O382" s="10"/>
      <c r="P382" s="22" t="str">
        <f aca="true">IF(AND(OR(M382="Не начато",M382="В работе",M382="Нужно решение"),C382&lt;TODAY()),TODAY()-C382,"")</f>
        <v/>
      </c>
      <c r="Q382" s="10" t="s">
        <v>238</v>
      </c>
      <c r="R382" s="10" t="s">
        <v>942</v>
      </c>
      <c r="S382" s="10"/>
      <c r="T382" s="10"/>
      <c r="U382" s="10" t="n">
        <v>401</v>
      </c>
    </row>
    <row r="383" customFormat="false" ht="23.85" hidden="false" customHeight="false" outlineLevel="0" collapsed="false">
      <c r="A383" s="10" t="n">
        <v>382</v>
      </c>
      <c r="B383" s="10" t="s">
        <v>89</v>
      </c>
      <c r="C383" s="21" t="n">
        <v>46326</v>
      </c>
      <c r="D383" s="10" t="s">
        <v>134</v>
      </c>
      <c r="E383" s="10" t="s">
        <v>112</v>
      </c>
      <c r="F383" s="10" t="s">
        <v>943</v>
      </c>
      <c r="G383" s="10" t="s">
        <v>188</v>
      </c>
      <c r="H383" s="10" t="s">
        <v>941</v>
      </c>
      <c r="I383" s="9" t="n">
        <v>12000</v>
      </c>
      <c r="J383" s="9"/>
      <c r="K383" s="10" t="s">
        <v>96</v>
      </c>
      <c r="L383" s="10" t="s">
        <v>102</v>
      </c>
      <c r="M383" s="16" t="str">
        <f aca="false">IFERROR(VLOOKUP(N383,Словарь!$A$2:$B$15,2,FALSE()),"Нужно решение")</f>
        <v>Выполнено, ждёт акта</v>
      </c>
      <c r="N383" s="10" t="s">
        <v>150</v>
      </c>
      <c r="O383" s="10" t="s">
        <v>151</v>
      </c>
      <c r="P383" s="22" t="str">
        <f aca="true">IF(AND(OR(M383="Не начато",M383="В работе",M383="Нужно решение"),C383&lt;TODAY()),TODAY()-C383,"")</f>
        <v/>
      </c>
      <c r="Q383" s="10" t="s">
        <v>238</v>
      </c>
      <c r="R383" s="10" t="s">
        <v>944</v>
      </c>
      <c r="S383" s="10"/>
      <c r="T383" s="10" t="s">
        <v>945</v>
      </c>
      <c r="U383" s="10" t="n">
        <v>402</v>
      </c>
    </row>
    <row r="384" customFormat="false" ht="23.85" hidden="false" customHeight="false" outlineLevel="0" collapsed="false">
      <c r="A384" s="10" t="n">
        <v>383</v>
      </c>
      <c r="B384" s="10" t="s">
        <v>89</v>
      </c>
      <c r="C384" s="21" t="n">
        <v>46326</v>
      </c>
      <c r="D384" s="10" t="s">
        <v>535</v>
      </c>
      <c r="E384" s="10" t="s">
        <v>112</v>
      </c>
      <c r="F384" s="10" t="s">
        <v>946</v>
      </c>
      <c r="G384" s="10" t="s">
        <v>188</v>
      </c>
      <c r="H384" s="10" t="s">
        <v>947</v>
      </c>
      <c r="I384" s="9" t="n">
        <v>30000</v>
      </c>
      <c r="J384" s="9"/>
      <c r="K384" s="10" t="s">
        <v>96</v>
      </c>
      <c r="L384" s="10" t="s">
        <v>105</v>
      </c>
      <c r="M384" s="16" t="str">
        <f aca="false">IFERROR(VLOOKUP(N384,Словарь!$A$2:$B$15,2,FALSE()),"Нужно решение")</f>
        <v>Выполнено, ждёт акта</v>
      </c>
      <c r="N384" s="10" t="s">
        <v>150</v>
      </c>
      <c r="O384" s="10" t="s">
        <v>171</v>
      </c>
      <c r="P384" s="22" t="str">
        <f aca="true">IF(AND(OR(M384="Не начато",M384="В работе",M384="Нужно решение"),C384&lt;TODAY()),TODAY()-C384,"")</f>
        <v/>
      </c>
      <c r="Q384" s="10" t="s">
        <v>77</v>
      </c>
      <c r="R384" s="10" t="s">
        <v>948</v>
      </c>
      <c r="S384" s="10" t="s">
        <v>949</v>
      </c>
      <c r="T384" s="10" t="s">
        <v>950</v>
      </c>
      <c r="U384" s="10" t="n">
        <v>403</v>
      </c>
    </row>
    <row r="385" customFormat="false" ht="23.85" hidden="false" customHeight="false" outlineLevel="0" collapsed="false">
      <c r="A385" s="10" t="n">
        <v>384</v>
      </c>
      <c r="B385" s="10" t="s">
        <v>89</v>
      </c>
      <c r="C385" s="21" t="n">
        <v>46326</v>
      </c>
      <c r="D385" s="10" t="s">
        <v>564</v>
      </c>
      <c r="E385" s="10" t="s">
        <v>113</v>
      </c>
      <c r="F385" s="10" t="s">
        <v>951</v>
      </c>
      <c r="G385" s="10" t="s">
        <v>192</v>
      </c>
      <c r="H385" s="10" t="s">
        <v>952</v>
      </c>
      <c r="I385" s="9" t="n">
        <v>15000</v>
      </c>
      <c r="J385" s="9"/>
      <c r="K385" s="10" t="s">
        <v>95</v>
      </c>
      <c r="L385" s="10" t="s">
        <v>103</v>
      </c>
      <c r="M385" s="16" t="str">
        <f aca="false">IFERROR(VLOOKUP(N385,Словарь!$A$2:$B$15,2,FALSE()),"Нужно решение")</f>
        <v>Не начато</v>
      </c>
      <c r="N385" s="10" t="s">
        <v>10</v>
      </c>
      <c r="O385" s="10"/>
      <c r="P385" s="22" t="str">
        <f aca="true">IF(AND(OR(M385="Не начато",M385="В работе",M385="Нужно решение"),C385&lt;TODAY()),TODAY()-C385,"")</f>
        <v/>
      </c>
      <c r="Q385" s="10" t="s">
        <v>238</v>
      </c>
      <c r="R385" s="10" t="s">
        <v>953</v>
      </c>
      <c r="S385" s="10"/>
      <c r="T385" s="10"/>
      <c r="U385" s="10" t="n">
        <v>404</v>
      </c>
    </row>
    <row r="386" customFormat="false" ht="23.85" hidden="false" customHeight="false" outlineLevel="0" collapsed="false">
      <c r="A386" s="10" t="n">
        <v>385</v>
      </c>
      <c r="B386" s="10" t="s">
        <v>89</v>
      </c>
      <c r="C386" s="21" t="n">
        <v>46326</v>
      </c>
      <c r="D386" s="10" t="s">
        <v>954</v>
      </c>
      <c r="E386" s="10" t="s">
        <v>113</v>
      </c>
      <c r="F386" s="10" t="s">
        <v>955</v>
      </c>
      <c r="G386" s="10" t="s">
        <v>192</v>
      </c>
      <c r="H386" s="10" t="s">
        <v>956</v>
      </c>
      <c r="I386" s="9" t="n">
        <v>12000</v>
      </c>
      <c r="J386" s="9"/>
      <c r="K386" s="10" t="s">
        <v>95</v>
      </c>
      <c r="L386" s="10" t="s">
        <v>103</v>
      </c>
      <c r="M386" s="16" t="str">
        <f aca="false">IFERROR(VLOOKUP(N386,Словарь!$A$2:$B$15,2,FALSE()),"Нужно решение")</f>
        <v>Не начато</v>
      </c>
      <c r="N386" s="10" t="s">
        <v>10</v>
      </c>
      <c r="O386" s="10"/>
      <c r="P386" s="22" t="str">
        <f aca="true">IF(AND(OR(M386="Не начато",M386="В работе",M386="Нужно решение"),C386&lt;TODAY()),TODAY()-C386,"")</f>
        <v/>
      </c>
      <c r="Q386" s="10" t="s">
        <v>238</v>
      </c>
      <c r="R386" s="10" t="s">
        <v>957</v>
      </c>
      <c r="S386" s="10"/>
      <c r="T386" s="10"/>
      <c r="U386" s="10" t="n">
        <v>405</v>
      </c>
    </row>
    <row r="387" customFormat="false" ht="23.85" hidden="false" customHeight="false" outlineLevel="0" collapsed="false">
      <c r="A387" s="10" t="n">
        <v>386</v>
      </c>
      <c r="B387" s="10" t="s">
        <v>89</v>
      </c>
      <c r="C387" s="21" t="n">
        <v>46326</v>
      </c>
      <c r="D387" s="10" t="s">
        <v>958</v>
      </c>
      <c r="E387" s="10" t="s">
        <v>112</v>
      </c>
      <c r="F387" s="10" t="s">
        <v>959</v>
      </c>
      <c r="G387" s="10" t="s">
        <v>174</v>
      </c>
      <c r="H387" s="10" t="s">
        <v>960</v>
      </c>
      <c r="I387" s="9"/>
      <c r="J387" s="9"/>
      <c r="K387" s="10" t="s">
        <v>96</v>
      </c>
      <c r="L387" s="10" t="s">
        <v>101</v>
      </c>
      <c r="M387" s="16" t="str">
        <f aca="false">IFERROR(VLOOKUP(N387,Словарь!$A$2:$B$15,2,FALSE()),"Нужно решение")</f>
        <v>Снято с плана</v>
      </c>
      <c r="N387" s="10" t="s">
        <v>164</v>
      </c>
      <c r="O387" s="10"/>
      <c r="P387" s="22" t="str">
        <f aca="true">IF(AND(OR(M387="Не начато",M387="В работе",M387="Нужно решение"),C387&lt;TODAY()),TODAY()-C387,"")</f>
        <v/>
      </c>
      <c r="Q387" s="10"/>
      <c r="R387" s="10"/>
      <c r="S387" s="10"/>
      <c r="T387" s="10" t="s">
        <v>961</v>
      </c>
      <c r="U387" s="10" t="n">
        <v>406</v>
      </c>
    </row>
    <row r="388" customFormat="false" ht="23.85" hidden="false" customHeight="false" outlineLevel="0" collapsed="false">
      <c r="A388" s="10" t="n">
        <v>387</v>
      </c>
      <c r="B388" s="10" t="s">
        <v>89</v>
      </c>
      <c r="C388" s="21" t="n">
        <v>46326</v>
      </c>
      <c r="D388" s="10" t="s">
        <v>225</v>
      </c>
      <c r="E388" s="10" t="s">
        <v>112</v>
      </c>
      <c r="F388" s="10" t="s">
        <v>962</v>
      </c>
      <c r="G388" s="10" t="s">
        <v>245</v>
      </c>
      <c r="H388" s="10" t="s">
        <v>963</v>
      </c>
      <c r="I388" s="9"/>
      <c r="J388" s="9"/>
      <c r="K388" s="10" t="s">
        <v>95</v>
      </c>
      <c r="L388" s="10" t="s">
        <v>100</v>
      </c>
      <c r="M388" s="16" t="str">
        <f aca="false">IFERROR(VLOOKUP(N388,Словарь!$A$2:$B$15,2,FALSE()),"Нужно решение")</f>
        <v>Не начато</v>
      </c>
      <c r="N388" s="10" t="s">
        <v>10</v>
      </c>
      <c r="O388" s="10"/>
      <c r="P388" s="22" t="str">
        <f aca="true">IF(AND(OR(M388="Не начато",M388="В работе",M388="Нужно решение"),C388&lt;TODAY()),TODAY()-C388,"")</f>
        <v/>
      </c>
      <c r="Q388" s="10" t="s">
        <v>238</v>
      </c>
      <c r="R388" s="10" t="s">
        <v>930</v>
      </c>
      <c r="S388" s="10"/>
      <c r="T388" s="10"/>
      <c r="U388" s="10" t="n">
        <v>408</v>
      </c>
    </row>
    <row r="389" customFormat="false" ht="23.85" hidden="false" customHeight="false" outlineLevel="0" collapsed="false">
      <c r="A389" s="10" t="n">
        <v>388</v>
      </c>
      <c r="B389" s="10" t="s">
        <v>89</v>
      </c>
      <c r="C389" s="21" t="n">
        <v>46326</v>
      </c>
      <c r="D389" s="10" t="s">
        <v>964</v>
      </c>
      <c r="E389" s="10" t="s">
        <v>112</v>
      </c>
      <c r="F389" s="10" t="s">
        <v>392</v>
      </c>
      <c r="G389" s="10" t="s">
        <v>142</v>
      </c>
      <c r="H389" s="10" t="s">
        <v>965</v>
      </c>
      <c r="I389" s="9" t="n">
        <v>450000</v>
      </c>
      <c r="J389" s="9"/>
      <c r="K389" s="10" t="s">
        <v>96</v>
      </c>
      <c r="L389" s="10" t="s">
        <v>105</v>
      </c>
      <c r="M389" s="16" t="str">
        <f aca="false">IFERROR(VLOOKUP(N389,Словарь!$A$2:$B$15,2,FALSE()),"Нужно решение")</f>
        <v>Выполнено, ждёт акта</v>
      </c>
      <c r="N389" s="10" t="s">
        <v>150</v>
      </c>
      <c r="O389" s="10" t="s">
        <v>151</v>
      </c>
      <c r="P389" s="22" t="str">
        <f aca="true">IF(AND(OR(M389="Не начато",M389="В работе",M389="Нужно решение"),C389&lt;TODAY()),TODAY()-C389,"")</f>
        <v/>
      </c>
      <c r="Q389" s="10" t="s">
        <v>238</v>
      </c>
      <c r="R389" s="10" t="s">
        <v>930</v>
      </c>
      <c r="S389" s="10"/>
      <c r="T389" s="10" t="s">
        <v>495</v>
      </c>
      <c r="U389" s="10" t="n">
        <v>407</v>
      </c>
    </row>
    <row r="390" customFormat="false" ht="35.05" hidden="false" customHeight="false" outlineLevel="0" collapsed="false">
      <c r="A390" s="10" t="n">
        <v>389</v>
      </c>
      <c r="B390" s="10" t="s">
        <v>89</v>
      </c>
      <c r="C390" s="21" t="n">
        <v>46326</v>
      </c>
      <c r="D390" s="10" t="s">
        <v>631</v>
      </c>
      <c r="E390" s="10" t="s">
        <v>112</v>
      </c>
      <c r="F390" s="10" t="s">
        <v>966</v>
      </c>
      <c r="G390" s="10" t="s">
        <v>158</v>
      </c>
      <c r="H390" s="10" t="s">
        <v>967</v>
      </c>
      <c r="I390" s="9"/>
      <c r="J390" s="9"/>
      <c r="K390" s="10" t="s">
        <v>96</v>
      </c>
      <c r="L390" s="10" t="s">
        <v>104</v>
      </c>
      <c r="M390" s="16" t="str">
        <f aca="false">IFERROR(VLOOKUP(N390,Словарь!$A$2:$B$15,2,FALSE()),"Нужно решение")</f>
        <v>В работе</v>
      </c>
      <c r="N390" s="10" t="s">
        <v>505</v>
      </c>
      <c r="O390" s="10"/>
      <c r="P390" s="22" t="str">
        <f aca="true">IF(AND(OR(M390="Не начато",M390="В работе",M390="Нужно решение"),C390&lt;TODAY()),TODAY()-C390,"")</f>
        <v/>
      </c>
      <c r="Q390" s="10"/>
      <c r="R390" s="10"/>
      <c r="S390" s="10"/>
      <c r="T390" s="10" t="s">
        <v>968</v>
      </c>
      <c r="U390" s="10" t="n">
        <v>409</v>
      </c>
    </row>
    <row r="391" customFormat="false" ht="23.85" hidden="false" customHeight="false" outlineLevel="0" collapsed="false">
      <c r="A391" s="10" t="n">
        <v>390</v>
      </c>
      <c r="B391" s="10" t="s">
        <v>89</v>
      </c>
      <c r="C391" s="21" t="n">
        <v>46326</v>
      </c>
      <c r="D391" s="10" t="s">
        <v>631</v>
      </c>
      <c r="E391" s="10" t="s">
        <v>112</v>
      </c>
      <c r="F391" s="10" t="s">
        <v>969</v>
      </c>
      <c r="G391" s="10" t="s">
        <v>158</v>
      </c>
      <c r="H391" s="10" t="s">
        <v>205</v>
      </c>
      <c r="I391" s="9" t="n">
        <v>10000</v>
      </c>
      <c r="J391" s="9"/>
      <c r="K391" s="10" t="s">
        <v>95</v>
      </c>
      <c r="L391" s="10" t="s">
        <v>109</v>
      </c>
      <c r="M391" s="16" t="str">
        <f aca="false">IFERROR(VLOOKUP(N391,Словарь!$A$2:$B$15,2,FALSE()),"Нужно решение")</f>
        <v>Не начато</v>
      </c>
      <c r="N391" s="10" t="s">
        <v>10</v>
      </c>
      <c r="O391" s="10"/>
      <c r="P391" s="22" t="str">
        <f aca="true">IF(AND(OR(M391="Не начато",M391="В работе",M391="Нужно решение"),C391&lt;TODAY()),TODAY()-C391,"")</f>
        <v/>
      </c>
      <c r="Q391" s="10" t="s">
        <v>238</v>
      </c>
      <c r="R391" s="10" t="s">
        <v>889</v>
      </c>
      <c r="S391" s="10"/>
      <c r="T391" s="10"/>
      <c r="U391" s="10" t="n">
        <v>410</v>
      </c>
    </row>
    <row r="392" customFormat="false" ht="23.85" hidden="false" customHeight="false" outlineLevel="0" collapsed="false">
      <c r="A392" s="10" t="n">
        <v>391</v>
      </c>
      <c r="B392" s="10" t="s">
        <v>89</v>
      </c>
      <c r="C392" s="21" t="n">
        <v>46326</v>
      </c>
      <c r="D392" s="10" t="s">
        <v>285</v>
      </c>
      <c r="E392" s="10" t="s">
        <v>112</v>
      </c>
      <c r="F392" s="10" t="s">
        <v>970</v>
      </c>
      <c r="G392" s="10" t="s">
        <v>188</v>
      </c>
      <c r="H392" s="10" t="s">
        <v>971</v>
      </c>
      <c r="I392" s="9" t="n">
        <v>24000</v>
      </c>
      <c r="J392" s="9"/>
      <c r="K392" s="10" t="s">
        <v>96</v>
      </c>
      <c r="L392" s="10" t="s">
        <v>103</v>
      </c>
      <c r="M392" s="16" t="str">
        <f aca="false">IFERROR(VLOOKUP(N392,Словарь!$A$2:$B$15,2,FALSE()),"Нужно решение")</f>
        <v>В работе</v>
      </c>
      <c r="N392" s="10" t="s">
        <v>13</v>
      </c>
      <c r="O392" s="10" t="s">
        <v>171</v>
      </c>
      <c r="P392" s="22" t="str">
        <f aca="true">IF(AND(OR(M392="Не начато",M392="В работе",M392="Нужно решение"),C392&lt;TODAY()),TODAY()-C392,"")</f>
        <v/>
      </c>
      <c r="Q392" s="10" t="s">
        <v>77</v>
      </c>
      <c r="R392" s="10" t="s">
        <v>948</v>
      </c>
      <c r="S392" s="10"/>
      <c r="T392" s="10" t="s">
        <v>972</v>
      </c>
      <c r="U392" s="10" t="n">
        <v>411</v>
      </c>
    </row>
    <row r="393" customFormat="false" ht="23.85" hidden="false" customHeight="false" outlineLevel="0" collapsed="false">
      <c r="A393" s="10" t="n">
        <v>392</v>
      </c>
      <c r="B393" s="10" t="s">
        <v>89</v>
      </c>
      <c r="C393" s="21" t="n">
        <v>46326</v>
      </c>
      <c r="D393" s="10" t="s">
        <v>973</v>
      </c>
      <c r="E393" s="10" t="s">
        <v>112</v>
      </c>
      <c r="F393" s="10" t="s">
        <v>974</v>
      </c>
      <c r="G393" s="10" t="s">
        <v>192</v>
      </c>
      <c r="H393" s="10" t="s">
        <v>975</v>
      </c>
      <c r="I393" s="9"/>
      <c r="J393" s="9"/>
      <c r="K393" s="10" t="s">
        <v>95</v>
      </c>
      <c r="L393" s="10" t="s">
        <v>100</v>
      </c>
      <c r="M393" s="16" t="str">
        <f aca="false">IFERROR(VLOOKUP(N393,Словарь!$A$2:$B$15,2,FALSE()),"Нужно решение")</f>
        <v>Нужно решение</v>
      </c>
      <c r="N393" s="10" t="s">
        <v>812</v>
      </c>
      <c r="O393" s="10"/>
      <c r="P393" s="22" t="str">
        <f aca="true">IF(AND(OR(M393="Не начато",M393="В работе",M393="Нужно решение"),C393&lt;TODAY()),TODAY()-C393,"")</f>
        <v/>
      </c>
      <c r="Q393" s="10"/>
      <c r="R393" s="10"/>
      <c r="S393" s="10"/>
      <c r="T393" s="10" t="s">
        <v>976</v>
      </c>
      <c r="U393" s="10" t="n">
        <v>412</v>
      </c>
    </row>
    <row r="394" customFormat="false" ht="23.85" hidden="false" customHeight="false" outlineLevel="0" collapsed="false">
      <c r="A394" s="10" t="n">
        <v>393</v>
      </c>
      <c r="B394" s="10" t="s">
        <v>89</v>
      </c>
      <c r="C394" s="21" t="n">
        <v>46326</v>
      </c>
      <c r="D394" s="10" t="s">
        <v>658</v>
      </c>
      <c r="E394" s="10" t="s">
        <v>113</v>
      </c>
      <c r="F394" s="10" t="s">
        <v>977</v>
      </c>
      <c r="G394" s="10" t="s">
        <v>174</v>
      </c>
      <c r="H394" s="10" t="s">
        <v>662</v>
      </c>
      <c r="I394" s="9" t="n">
        <v>137000</v>
      </c>
      <c r="J394" s="9"/>
      <c r="K394" s="10" t="s">
        <v>96</v>
      </c>
      <c r="L394" s="10" t="s">
        <v>101</v>
      </c>
      <c r="M394" s="16" t="str">
        <f aca="false">IFERROR(VLOOKUP(N394,Словарь!$A$2:$B$15,2,FALSE()),"Нужно решение")</f>
        <v>Отложено на зиму</v>
      </c>
      <c r="N394" s="10" t="s">
        <v>22</v>
      </c>
      <c r="O394" s="10"/>
      <c r="P394" s="22" t="str">
        <f aca="true">IF(AND(OR(M394="Не начато",M394="В работе",M394="Нужно решение"),C394&lt;TODAY()),TODAY()-C394,"")</f>
        <v/>
      </c>
      <c r="Q394" s="10" t="s">
        <v>238</v>
      </c>
      <c r="R394" s="10" t="s">
        <v>930</v>
      </c>
      <c r="S394" s="10"/>
      <c r="T394" s="10" t="s">
        <v>522</v>
      </c>
      <c r="U394" s="10" t="n">
        <v>413</v>
      </c>
    </row>
    <row r="395" customFormat="false" ht="23.85" hidden="false" customHeight="false" outlineLevel="0" collapsed="false">
      <c r="A395" s="10" t="n">
        <v>394</v>
      </c>
      <c r="B395" s="10" t="s">
        <v>89</v>
      </c>
      <c r="C395" s="21" t="n">
        <v>46326</v>
      </c>
      <c r="D395" s="10" t="s">
        <v>667</v>
      </c>
      <c r="E395" s="10" t="s">
        <v>112</v>
      </c>
      <c r="F395" s="10" t="s">
        <v>978</v>
      </c>
      <c r="G395" s="10" t="s">
        <v>192</v>
      </c>
      <c r="H395" s="10" t="s">
        <v>979</v>
      </c>
      <c r="I395" s="9"/>
      <c r="J395" s="9"/>
      <c r="K395" s="10" t="s">
        <v>95</v>
      </c>
      <c r="L395" s="10" t="s">
        <v>100</v>
      </c>
      <c r="M395" s="16" t="str">
        <f aca="false">IFERROR(VLOOKUP(N395,Словарь!$A$2:$B$15,2,FALSE()),"Нужно решение")</f>
        <v>Нужно решение</v>
      </c>
      <c r="N395" s="10" t="s">
        <v>812</v>
      </c>
      <c r="O395" s="10"/>
      <c r="P395" s="22" t="str">
        <f aca="true">IF(AND(OR(M395="Не начато",M395="В работе",M395="Нужно решение"),C395&lt;TODAY()),TODAY()-C395,"")</f>
        <v/>
      </c>
      <c r="Q395" s="10"/>
      <c r="R395" s="10"/>
      <c r="S395" s="10"/>
      <c r="T395" s="10"/>
      <c r="U395" s="10" t="n">
        <v>417</v>
      </c>
    </row>
    <row r="396" customFormat="false" ht="23.85" hidden="false" customHeight="false" outlineLevel="0" collapsed="false">
      <c r="A396" s="10" t="n">
        <v>395</v>
      </c>
      <c r="B396" s="10" t="s">
        <v>89</v>
      </c>
      <c r="C396" s="21" t="n">
        <v>46326</v>
      </c>
      <c r="D396" s="10" t="s">
        <v>153</v>
      </c>
      <c r="E396" s="10" t="s">
        <v>112</v>
      </c>
      <c r="F396" s="10" t="s">
        <v>980</v>
      </c>
      <c r="G396" s="10" t="s">
        <v>188</v>
      </c>
      <c r="H396" s="10" t="s">
        <v>981</v>
      </c>
      <c r="I396" s="9"/>
      <c r="J396" s="9"/>
      <c r="K396" s="10" t="s">
        <v>96</v>
      </c>
      <c r="L396" s="10" t="s">
        <v>104</v>
      </c>
      <c r="M396" s="16" t="str">
        <f aca="false">IFERROR(VLOOKUP(N396,Словарь!$A$2:$B$15,2,FALSE()),"Нужно решение")</f>
        <v>Выполнено, ждёт акта</v>
      </c>
      <c r="N396" s="10" t="s">
        <v>150</v>
      </c>
      <c r="O396" s="10" t="s">
        <v>151</v>
      </c>
      <c r="P396" s="22" t="str">
        <f aca="true">IF(AND(OR(M396="Не начато",M396="В работе",M396="Нужно решение"),C396&lt;TODAY()),TODAY()-C396,"")</f>
        <v/>
      </c>
      <c r="Q396" s="10" t="s">
        <v>238</v>
      </c>
      <c r="R396" s="10" t="s">
        <v>930</v>
      </c>
      <c r="S396" s="10"/>
      <c r="T396" s="10" t="s">
        <v>495</v>
      </c>
      <c r="U396" s="10" t="n">
        <v>414</v>
      </c>
    </row>
    <row r="397" customFormat="false" ht="23.85" hidden="false" customHeight="false" outlineLevel="0" collapsed="false">
      <c r="A397" s="10" t="n">
        <v>396</v>
      </c>
      <c r="B397" s="10" t="s">
        <v>89</v>
      </c>
      <c r="C397" s="21" t="n">
        <v>46326</v>
      </c>
      <c r="D397" s="10" t="s">
        <v>681</v>
      </c>
      <c r="E397" s="10" t="s">
        <v>112</v>
      </c>
      <c r="F397" s="10" t="s">
        <v>982</v>
      </c>
      <c r="G397" s="10" t="s">
        <v>158</v>
      </c>
      <c r="H397" s="10" t="s">
        <v>983</v>
      </c>
      <c r="I397" s="9"/>
      <c r="J397" s="9"/>
      <c r="K397" s="10" t="s">
        <v>95</v>
      </c>
      <c r="L397" s="10" t="s">
        <v>104</v>
      </c>
      <c r="M397" s="16" t="str">
        <f aca="false">IFERROR(VLOOKUP(N397,Словарь!$A$2:$B$15,2,FALSE()),"Нужно решение")</f>
        <v>Не начато</v>
      </c>
      <c r="N397" s="10" t="s">
        <v>10</v>
      </c>
      <c r="O397" s="10"/>
      <c r="P397" s="22" t="str">
        <f aca="true">IF(AND(OR(M397="Не начато",M397="В работе",M397="Нужно решение"),C397&lt;TODAY()),TODAY()-C397,"")</f>
        <v/>
      </c>
      <c r="Q397" s="10" t="s">
        <v>238</v>
      </c>
      <c r="R397" s="10" t="s">
        <v>930</v>
      </c>
      <c r="S397" s="10"/>
      <c r="T397" s="10"/>
      <c r="U397" s="10" t="n">
        <v>415</v>
      </c>
    </row>
    <row r="398" customFormat="false" ht="23.85" hidden="false" customHeight="false" outlineLevel="0" collapsed="false">
      <c r="A398" s="10" t="n">
        <v>397</v>
      </c>
      <c r="B398" s="10" t="s">
        <v>89</v>
      </c>
      <c r="C398" s="21" t="n">
        <v>46326</v>
      </c>
      <c r="D398" s="10" t="s">
        <v>681</v>
      </c>
      <c r="E398" s="10" t="s">
        <v>112</v>
      </c>
      <c r="F398" s="10" t="s">
        <v>984</v>
      </c>
      <c r="G398" s="10" t="s">
        <v>192</v>
      </c>
      <c r="H398" s="10" t="s">
        <v>985</v>
      </c>
      <c r="I398" s="9"/>
      <c r="J398" s="9"/>
      <c r="K398" s="10" t="s">
        <v>95</v>
      </c>
      <c r="L398" s="10" t="s">
        <v>104</v>
      </c>
      <c r="M398" s="16" t="str">
        <f aca="false">IFERROR(VLOOKUP(N398,Словарь!$A$2:$B$15,2,FALSE()),"Нужно решение")</f>
        <v>Не начато</v>
      </c>
      <c r="N398" s="10" t="s">
        <v>10</v>
      </c>
      <c r="O398" s="10"/>
      <c r="P398" s="22" t="str">
        <f aca="true">IF(AND(OR(M398="Не начато",M398="В работе",M398="Нужно решение"),C398&lt;TODAY()),TODAY()-C398,"")</f>
        <v/>
      </c>
      <c r="Q398" s="10" t="s">
        <v>238</v>
      </c>
      <c r="R398" s="10" t="s">
        <v>930</v>
      </c>
      <c r="S398" s="10"/>
      <c r="T398" s="10"/>
      <c r="U398" s="10" t="n">
        <v>416</v>
      </c>
    </row>
    <row r="399" customFormat="false" ht="23.85" hidden="false" customHeight="false" outlineLevel="0" collapsed="false">
      <c r="A399" s="10" t="n">
        <v>398</v>
      </c>
      <c r="B399" s="10" t="s">
        <v>89</v>
      </c>
      <c r="C399" s="21" t="n">
        <v>46326</v>
      </c>
      <c r="D399" s="10" t="s">
        <v>294</v>
      </c>
      <c r="E399" s="10" t="s">
        <v>112</v>
      </c>
      <c r="F399" s="10" t="s">
        <v>986</v>
      </c>
      <c r="G399" s="10" t="s">
        <v>142</v>
      </c>
      <c r="H399" s="10" t="s">
        <v>296</v>
      </c>
      <c r="I399" s="9" t="n">
        <v>10000</v>
      </c>
      <c r="J399" s="9"/>
      <c r="K399" s="10" t="s">
        <v>96</v>
      </c>
      <c r="L399" s="10" t="s">
        <v>103</v>
      </c>
      <c r="M399" s="16" t="str">
        <f aca="false">IFERROR(VLOOKUP(N399,Словарь!$A$2:$B$15,2,FALSE()),"Нужно решение")</f>
        <v>Снято с плана</v>
      </c>
      <c r="N399" s="10" t="s">
        <v>164</v>
      </c>
      <c r="O399" s="10"/>
      <c r="P399" s="22" t="str">
        <f aca="true">IF(AND(OR(M399="Не начато",M399="В работе",M399="Нужно решение"),C399&lt;TODAY()),TODAY()-C399,"")</f>
        <v/>
      </c>
      <c r="Q399" s="10" t="s">
        <v>238</v>
      </c>
      <c r="R399" s="10" t="s">
        <v>930</v>
      </c>
      <c r="S399" s="10"/>
      <c r="T399" s="10" t="s">
        <v>987</v>
      </c>
      <c r="U399" s="10" t="n">
        <v>419</v>
      </c>
    </row>
    <row r="400" customFormat="false" ht="35.05" hidden="false" customHeight="false" outlineLevel="0" collapsed="false">
      <c r="A400" s="10" t="n">
        <v>399</v>
      </c>
      <c r="B400" s="10" t="s">
        <v>89</v>
      </c>
      <c r="C400" s="21" t="n">
        <v>46326</v>
      </c>
      <c r="D400" s="10" t="s">
        <v>450</v>
      </c>
      <c r="E400" s="10" t="s">
        <v>112</v>
      </c>
      <c r="F400" s="10" t="s">
        <v>988</v>
      </c>
      <c r="G400" s="10" t="s">
        <v>188</v>
      </c>
      <c r="H400" s="10" t="s">
        <v>989</v>
      </c>
      <c r="I400" s="9"/>
      <c r="J400" s="9"/>
      <c r="K400" s="10" t="s">
        <v>95</v>
      </c>
      <c r="L400" s="10" t="s">
        <v>100</v>
      </c>
      <c r="M400" s="16" t="str">
        <f aca="false">IFERROR(VLOOKUP(N400,Словарь!$A$2:$B$15,2,FALSE()),"Нужно решение")</f>
        <v>Не начато</v>
      </c>
      <c r="N400" s="10" t="s">
        <v>10</v>
      </c>
      <c r="O400" s="10"/>
      <c r="P400" s="22" t="str">
        <f aca="true">IF(AND(OR(M400="Не начато",M400="В работе",M400="Нужно решение"),C400&lt;TODAY()),TODAY()-C400,"")</f>
        <v/>
      </c>
      <c r="Q400" s="10" t="s">
        <v>238</v>
      </c>
      <c r="R400" s="10" t="s">
        <v>930</v>
      </c>
      <c r="S400" s="10"/>
      <c r="T400" s="10"/>
      <c r="U400" s="10" t="n">
        <v>420</v>
      </c>
    </row>
    <row r="401" customFormat="false" ht="23.85" hidden="false" customHeight="false" outlineLevel="0" collapsed="false">
      <c r="A401" s="10" t="n">
        <v>400</v>
      </c>
      <c r="B401" s="10" t="s">
        <v>89</v>
      </c>
      <c r="C401" s="21" t="n">
        <v>46326</v>
      </c>
      <c r="D401" s="10" t="s">
        <v>990</v>
      </c>
      <c r="E401" s="10" t="s">
        <v>112</v>
      </c>
      <c r="F401" s="10" t="s">
        <v>991</v>
      </c>
      <c r="G401" s="10" t="s">
        <v>245</v>
      </c>
      <c r="H401" s="10" t="s">
        <v>992</v>
      </c>
      <c r="I401" s="9"/>
      <c r="J401" s="9"/>
      <c r="K401" s="10" t="s">
        <v>95</v>
      </c>
      <c r="L401" s="10" t="s">
        <v>101</v>
      </c>
      <c r="M401" s="16" t="str">
        <f aca="false">IFERROR(VLOOKUP(N401,Словарь!$A$2:$B$15,2,FALSE()),"Нужно решение")</f>
        <v>Не начато</v>
      </c>
      <c r="N401" s="10" t="s">
        <v>10</v>
      </c>
      <c r="O401" s="10"/>
      <c r="P401" s="22" t="str">
        <f aca="true">IF(AND(OR(M401="Не начато",M401="В работе",M401="Нужно решение"),C401&lt;TODAY()),TODAY()-C401,"")</f>
        <v/>
      </c>
      <c r="Q401" s="10" t="s">
        <v>238</v>
      </c>
      <c r="R401" s="10" t="s">
        <v>930</v>
      </c>
      <c r="S401" s="10"/>
      <c r="T401" s="10"/>
      <c r="U401" s="10" t="n">
        <v>423</v>
      </c>
    </row>
    <row r="402" customFormat="false" ht="23.85" hidden="false" customHeight="false" outlineLevel="0" collapsed="false">
      <c r="A402" s="10" t="n">
        <v>401</v>
      </c>
      <c r="B402" s="10" t="s">
        <v>89</v>
      </c>
      <c r="C402" s="21" t="n">
        <v>46326</v>
      </c>
      <c r="D402" s="10" t="s">
        <v>712</v>
      </c>
      <c r="E402" s="10" t="s">
        <v>112</v>
      </c>
      <c r="F402" s="10" t="s">
        <v>993</v>
      </c>
      <c r="G402" s="10" t="s">
        <v>174</v>
      </c>
      <c r="H402" s="10" t="s">
        <v>520</v>
      </c>
      <c r="I402" s="9"/>
      <c r="J402" s="9"/>
      <c r="K402" s="10" t="s">
        <v>96</v>
      </c>
      <c r="L402" s="10" t="s">
        <v>108</v>
      </c>
      <c r="M402" s="16" t="str">
        <f aca="false">IFERROR(VLOOKUP(N402,Словарь!$A$2:$B$15,2,FALSE()),"Нужно решение")</f>
        <v>В работе</v>
      </c>
      <c r="N402" s="10" t="s">
        <v>505</v>
      </c>
      <c r="O402" s="10"/>
      <c r="P402" s="22" t="str">
        <f aca="true">IF(AND(OR(M402="Не начато",M402="В работе",M402="Нужно решение"),C402&lt;TODAY()),TODAY()-C402,"")</f>
        <v/>
      </c>
      <c r="Q402" s="10" t="s">
        <v>238</v>
      </c>
      <c r="R402" s="10" t="s">
        <v>930</v>
      </c>
      <c r="S402" s="10"/>
      <c r="T402" s="10" t="s">
        <v>968</v>
      </c>
      <c r="U402" s="10" t="n">
        <v>422</v>
      </c>
    </row>
    <row r="403" customFormat="false" ht="23.85" hidden="false" customHeight="false" outlineLevel="0" collapsed="false">
      <c r="A403" s="10" t="n">
        <v>402</v>
      </c>
      <c r="B403" s="10" t="s">
        <v>89</v>
      </c>
      <c r="C403" s="21" t="n">
        <v>46326</v>
      </c>
      <c r="D403" s="10" t="s">
        <v>304</v>
      </c>
      <c r="E403" s="10" t="s">
        <v>112</v>
      </c>
      <c r="F403" s="10" t="s">
        <v>994</v>
      </c>
      <c r="G403" s="10" t="s">
        <v>183</v>
      </c>
      <c r="H403" s="10" t="s">
        <v>258</v>
      </c>
      <c r="I403" s="9" t="n">
        <v>20000</v>
      </c>
      <c r="J403" s="9"/>
      <c r="K403" s="10" t="s">
        <v>97</v>
      </c>
      <c r="L403" s="10" t="s">
        <v>108</v>
      </c>
      <c r="M403" s="16" t="str">
        <f aca="false">IFERROR(VLOOKUP(N403,Словарь!$A$2:$B$15,2,FALSE()),"Нужно решение")</f>
        <v>Не начато</v>
      </c>
      <c r="N403" s="10" t="s">
        <v>10</v>
      </c>
      <c r="O403" s="10"/>
      <c r="P403" s="22" t="str">
        <f aca="true">IF(AND(OR(M403="Не начато",M403="В работе",M403="Нужно решение"),C403&lt;TODAY()),TODAY()-C403,"")</f>
        <v/>
      </c>
      <c r="Q403" s="10" t="s">
        <v>238</v>
      </c>
      <c r="R403" s="10" t="s">
        <v>995</v>
      </c>
      <c r="S403" s="10"/>
      <c r="T403" s="10"/>
      <c r="U403" s="10" t="n">
        <v>421</v>
      </c>
    </row>
    <row r="404" customFormat="false" ht="23.85" hidden="false" customHeight="false" outlineLevel="0" collapsed="false">
      <c r="A404" s="10" t="n">
        <v>403</v>
      </c>
      <c r="B404" s="10" t="s">
        <v>89</v>
      </c>
      <c r="C404" s="21" t="n">
        <v>46326</v>
      </c>
      <c r="D404" s="10" t="s">
        <v>735</v>
      </c>
      <c r="E404" s="10" t="s">
        <v>112</v>
      </c>
      <c r="F404" s="10" t="s">
        <v>996</v>
      </c>
      <c r="G404" s="10" t="s">
        <v>245</v>
      </c>
      <c r="H404" s="10" t="s">
        <v>997</v>
      </c>
      <c r="I404" s="9" t="n">
        <v>536160</v>
      </c>
      <c r="J404" s="9"/>
      <c r="K404" s="10" t="s">
        <v>95</v>
      </c>
      <c r="L404" s="10" t="s">
        <v>100</v>
      </c>
      <c r="M404" s="16" t="str">
        <f aca="false">IFERROR(VLOOKUP(N404,Словарь!$A$2:$B$15,2,FALSE()),"Нужно решение")</f>
        <v>Выполнено, ждёт акта</v>
      </c>
      <c r="N404" s="10" t="s">
        <v>150</v>
      </c>
      <c r="O404" s="10"/>
      <c r="P404" s="22" t="str">
        <f aca="true">IF(AND(OR(M404="Не начато",M404="В работе",M404="Нужно решение"),C404&lt;TODAY()),TODAY()-C404,"")</f>
        <v/>
      </c>
      <c r="Q404" s="10"/>
      <c r="R404" s="10"/>
      <c r="S404" s="10"/>
      <c r="T404" s="10" t="s">
        <v>806</v>
      </c>
      <c r="U404" s="10" t="n">
        <v>424</v>
      </c>
    </row>
    <row r="405" customFormat="false" ht="23.85" hidden="false" customHeight="false" outlineLevel="0" collapsed="false">
      <c r="A405" s="10" t="n">
        <v>404</v>
      </c>
      <c r="B405" s="10" t="s">
        <v>89</v>
      </c>
      <c r="C405" s="21" t="n">
        <v>46326</v>
      </c>
      <c r="D405" s="10" t="s">
        <v>456</v>
      </c>
      <c r="E405" s="10" t="s">
        <v>112</v>
      </c>
      <c r="F405" s="10" t="s">
        <v>998</v>
      </c>
      <c r="G405" s="10" t="s">
        <v>188</v>
      </c>
      <c r="H405" s="10" t="s">
        <v>999</v>
      </c>
      <c r="I405" s="9" t="n">
        <v>20000</v>
      </c>
      <c r="J405" s="9"/>
      <c r="K405" s="10" t="s">
        <v>95</v>
      </c>
      <c r="L405" s="10" t="s">
        <v>103</v>
      </c>
      <c r="M405" s="16" t="str">
        <f aca="false">IFERROR(VLOOKUP(N405,Словарь!$A$2:$B$15,2,FALSE()),"Нужно решение")</f>
        <v>Не начато</v>
      </c>
      <c r="N405" s="10" t="s">
        <v>10</v>
      </c>
      <c r="O405" s="10"/>
      <c r="P405" s="22" t="str">
        <f aca="true">IF(AND(OR(M405="Не начато",M405="В работе",M405="Нужно решение"),C405&lt;TODAY()),TODAY()-C405,"")</f>
        <v/>
      </c>
      <c r="Q405" s="10" t="s">
        <v>238</v>
      </c>
      <c r="R405" s="10" t="s">
        <v>953</v>
      </c>
      <c r="S405" s="10"/>
      <c r="T405" s="10"/>
      <c r="U405" s="10" t="n">
        <v>425</v>
      </c>
    </row>
    <row r="406" customFormat="false" ht="23.85" hidden="false" customHeight="false" outlineLevel="0" collapsed="false">
      <c r="A406" s="10" t="n">
        <v>405</v>
      </c>
      <c r="B406" s="10" t="s">
        <v>89</v>
      </c>
      <c r="C406" s="21" t="n">
        <v>46326</v>
      </c>
      <c r="D406" s="10" t="s">
        <v>246</v>
      </c>
      <c r="E406" s="10" t="s">
        <v>112</v>
      </c>
      <c r="F406" s="10" t="s">
        <v>1000</v>
      </c>
      <c r="G406" s="10" t="s">
        <v>188</v>
      </c>
      <c r="H406" s="10" t="s">
        <v>1001</v>
      </c>
      <c r="I406" s="9" t="n">
        <v>40000</v>
      </c>
      <c r="J406" s="9"/>
      <c r="K406" s="10" t="s">
        <v>96</v>
      </c>
      <c r="L406" s="10" t="s">
        <v>105</v>
      </c>
      <c r="M406" s="16" t="str">
        <f aca="false">IFERROR(VLOOKUP(N406,Словарь!$A$2:$B$15,2,FALSE()),"Нужно решение")</f>
        <v>Выполнено, ждёт акта</v>
      </c>
      <c r="N406" s="10" t="s">
        <v>150</v>
      </c>
      <c r="O406" s="10" t="s">
        <v>171</v>
      </c>
      <c r="P406" s="22" t="str">
        <f aca="true">IF(AND(OR(M406="Не начато",M406="В работе",M406="Нужно решение"),C406&lt;TODAY()),TODAY()-C406,"")</f>
        <v/>
      </c>
      <c r="Q406" s="10" t="s">
        <v>13</v>
      </c>
      <c r="R406" s="10" t="s">
        <v>948</v>
      </c>
      <c r="S406" s="10" t="s">
        <v>1002</v>
      </c>
      <c r="T406" s="10" t="s">
        <v>950</v>
      </c>
      <c r="U406" s="10" t="n">
        <v>426</v>
      </c>
    </row>
    <row r="407" customFormat="false" ht="23.85" hidden="false" customHeight="false" outlineLevel="0" collapsed="false">
      <c r="A407" s="10" t="n">
        <v>406</v>
      </c>
      <c r="B407" s="10" t="s">
        <v>89</v>
      </c>
      <c r="C407" s="21" t="n">
        <v>46326</v>
      </c>
      <c r="D407" s="10" t="s">
        <v>757</v>
      </c>
      <c r="E407" s="10" t="s">
        <v>112</v>
      </c>
      <c r="F407" s="10" t="s">
        <v>1003</v>
      </c>
      <c r="G407" s="10" t="s">
        <v>192</v>
      </c>
      <c r="H407" s="10" t="s">
        <v>1004</v>
      </c>
      <c r="I407" s="9" t="n">
        <v>20000</v>
      </c>
      <c r="J407" s="9"/>
      <c r="K407" s="10" t="s">
        <v>97</v>
      </c>
      <c r="L407" s="10" t="s">
        <v>109</v>
      </c>
      <c r="M407" s="16" t="str">
        <f aca="false">IFERROR(VLOOKUP(N407,Словарь!$A$2:$B$15,2,FALSE()),"Нужно решение")</f>
        <v>Не начато</v>
      </c>
      <c r="N407" s="10" t="s">
        <v>10</v>
      </c>
      <c r="O407" s="10"/>
      <c r="P407" s="22" t="str">
        <f aca="true">IF(AND(OR(M407="Не начато",M407="В работе",M407="Нужно решение"),C407&lt;TODAY()),TODAY()-C407,"")</f>
        <v/>
      </c>
      <c r="Q407" s="10" t="s">
        <v>238</v>
      </c>
      <c r="R407" s="10" t="s">
        <v>1005</v>
      </c>
      <c r="S407" s="10" t="s">
        <v>1006</v>
      </c>
      <c r="T407" s="10"/>
      <c r="U407" s="10" t="n">
        <v>428</v>
      </c>
    </row>
    <row r="408" customFormat="false" ht="23.85" hidden="false" customHeight="false" outlineLevel="0" collapsed="false">
      <c r="A408" s="10" t="n">
        <v>407</v>
      </c>
      <c r="B408" s="10" t="s">
        <v>89</v>
      </c>
      <c r="C408" s="21" t="n">
        <v>46326</v>
      </c>
      <c r="D408" s="10" t="s">
        <v>765</v>
      </c>
      <c r="E408" s="10" t="s">
        <v>112</v>
      </c>
      <c r="F408" s="10" t="s">
        <v>1007</v>
      </c>
      <c r="G408" s="10" t="s">
        <v>192</v>
      </c>
      <c r="H408" s="10" t="s">
        <v>1008</v>
      </c>
      <c r="I408" s="9" t="n">
        <v>25000</v>
      </c>
      <c r="J408" s="9"/>
      <c r="K408" s="10" t="s">
        <v>95</v>
      </c>
      <c r="L408" s="10" t="s">
        <v>107</v>
      </c>
      <c r="M408" s="16" t="str">
        <f aca="false">IFERROR(VLOOKUP(N408,Словарь!$A$2:$B$15,2,FALSE()),"Нужно решение")</f>
        <v>Не начато</v>
      </c>
      <c r="N408" s="10" t="s">
        <v>10</v>
      </c>
      <c r="O408" s="10"/>
      <c r="P408" s="22" t="str">
        <f aca="true">IF(AND(OR(M408="Не начато",M408="В работе",M408="Нужно решение"),C408&lt;TODAY()),TODAY()-C408,"")</f>
        <v/>
      </c>
      <c r="Q408" s="10" t="s">
        <v>238</v>
      </c>
      <c r="R408" s="10" t="s">
        <v>1009</v>
      </c>
      <c r="S408" s="10"/>
      <c r="T408" s="10"/>
      <c r="U408" s="10" t="n">
        <v>429</v>
      </c>
    </row>
    <row r="409" customFormat="false" ht="23.85" hidden="false" customHeight="false" outlineLevel="0" collapsed="false">
      <c r="A409" s="10" t="n">
        <v>408</v>
      </c>
      <c r="B409" s="10" t="s">
        <v>89</v>
      </c>
      <c r="C409" s="21" t="n">
        <v>46326</v>
      </c>
      <c r="D409" s="10" t="s">
        <v>1010</v>
      </c>
      <c r="E409" s="10" t="s">
        <v>112</v>
      </c>
      <c r="F409" s="10" t="s">
        <v>1011</v>
      </c>
      <c r="G409" s="10" t="s">
        <v>192</v>
      </c>
      <c r="H409" s="10" t="s">
        <v>1012</v>
      </c>
      <c r="I409" s="9" t="n">
        <v>30000</v>
      </c>
      <c r="J409" s="9"/>
      <c r="K409" s="10" t="s">
        <v>95</v>
      </c>
      <c r="L409" s="10" t="s">
        <v>109</v>
      </c>
      <c r="M409" s="16" t="str">
        <f aca="false">IFERROR(VLOOKUP(N409,Словарь!$A$2:$B$15,2,FALSE()),"Нужно решение")</f>
        <v>В работе</v>
      </c>
      <c r="N409" s="10" t="s">
        <v>13</v>
      </c>
      <c r="O409" s="10"/>
      <c r="P409" s="22" t="str">
        <f aca="true">IF(AND(OR(M409="Не начато",M409="В работе",M409="Нужно решение"),C409&lt;TODAY()),TODAY()-C409,"")</f>
        <v/>
      </c>
      <c r="Q409" s="10" t="s">
        <v>77</v>
      </c>
      <c r="R409" s="10" t="s">
        <v>948</v>
      </c>
      <c r="S409" s="10"/>
      <c r="T409" s="10" t="s">
        <v>972</v>
      </c>
      <c r="U409" s="10" t="n">
        <v>427</v>
      </c>
    </row>
    <row r="410" customFormat="false" ht="35.05" hidden="false" customHeight="false" outlineLevel="0" collapsed="false">
      <c r="A410" s="10" t="n">
        <v>409</v>
      </c>
      <c r="B410" s="10" t="s">
        <v>89</v>
      </c>
      <c r="C410" s="21" t="n">
        <v>46326</v>
      </c>
      <c r="D410" s="10" t="s">
        <v>1013</v>
      </c>
      <c r="E410" s="10" t="s">
        <v>112</v>
      </c>
      <c r="F410" s="10" t="s">
        <v>1014</v>
      </c>
      <c r="G410" s="10" t="s">
        <v>174</v>
      </c>
      <c r="H410" s="10" t="s">
        <v>1015</v>
      </c>
      <c r="I410" s="9"/>
      <c r="J410" s="9"/>
      <c r="K410" s="10" t="s">
        <v>96</v>
      </c>
      <c r="L410" s="10" t="s">
        <v>107</v>
      </c>
      <c r="M410" s="16" t="str">
        <f aca="false">IFERROR(VLOOKUP(N410,Словарь!$A$2:$B$15,2,FALSE()),"Нужно решение")</f>
        <v>В работе</v>
      </c>
      <c r="N410" s="10" t="s">
        <v>505</v>
      </c>
      <c r="O410" s="10"/>
      <c r="P410" s="22" t="str">
        <f aca="true">IF(AND(OR(M410="Не начато",M410="В работе",M410="Нужно решение"),C410&lt;TODAY()),TODAY()-C410,"")</f>
        <v/>
      </c>
      <c r="Q410" s="10" t="s">
        <v>238</v>
      </c>
      <c r="R410" s="10" t="s">
        <v>930</v>
      </c>
      <c r="S410" s="10"/>
      <c r="T410" s="10" t="s">
        <v>1016</v>
      </c>
      <c r="U410" s="10" t="n">
        <v>430</v>
      </c>
    </row>
    <row r="411" customFormat="false" ht="23.85" hidden="false" customHeight="false" outlineLevel="0" collapsed="false">
      <c r="A411" s="10" t="n">
        <v>410</v>
      </c>
      <c r="B411" s="10" t="s">
        <v>89</v>
      </c>
      <c r="C411" s="21" t="n">
        <v>46326</v>
      </c>
      <c r="D411" s="10" t="s">
        <v>831</v>
      </c>
      <c r="E411" s="10" t="s">
        <v>112</v>
      </c>
      <c r="F411" s="10" t="s">
        <v>1017</v>
      </c>
      <c r="G411" s="10" t="s">
        <v>192</v>
      </c>
      <c r="H411" s="10" t="s">
        <v>1018</v>
      </c>
      <c r="I411" s="9"/>
      <c r="J411" s="9"/>
      <c r="K411" s="10" t="s">
        <v>95</v>
      </c>
      <c r="L411" s="10" t="s">
        <v>100</v>
      </c>
      <c r="M411" s="16" t="str">
        <f aca="false">IFERROR(VLOOKUP(N411,Словарь!$A$2:$B$15,2,FALSE()),"Нужно решение")</f>
        <v>Нужно решение</v>
      </c>
      <c r="N411" s="10" t="s">
        <v>812</v>
      </c>
      <c r="O411" s="10"/>
      <c r="P411" s="22" t="str">
        <f aca="true">IF(AND(OR(M411="Не начато",M411="В работе",M411="Нужно решение"),C411&lt;TODAY()),TODAY()-C411,"")</f>
        <v/>
      </c>
      <c r="Q411" s="10"/>
      <c r="R411" s="10"/>
      <c r="S411" s="10"/>
      <c r="T411" s="10"/>
      <c r="U411" s="10" t="n">
        <v>431</v>
      </c>
    </row>
    <row r="412" customFormat="false" ht="23.85" hidden="false" customHeight="false" outlineLevel="0" collapsed="false">
      <c r="A412" s="10" t="n">
        <v>411</v>
      </c>
      <c r="B412" s="10" t="s">
        <v>89</v>
      </c>
      <c r="C412" s="21" t="n">
        <v>46326</v>
      </c>
      <c r="D412" s="10" t="s">
        <v>831</v>
      </c>
      <c r="E412" s="10" t="s">
        <v>112</v>
      </c>
      <c r="F412" s="10" t="s">
        <v>1019</v>
      </c>
      <c r="G412" s="10" t="s">
        <v>174</v>
      </c>
      <c r="H412" s="10" t="s">
        <v>1020</v>
      </c>
      <c r="I412" s="9"/>
      <c r="J412" s="9"/>
      <c r="K412" s="10" t="s">
        <v>96</v>
      </c>
      <c r="L412" s="10" t="s">
        <v>102</v>
      </c>
      <c r="M412" s="16" t="str">
        <f aca="false">IFERROR(VLOOKUP(N412,Словарь!$A$2:$B$15,2,FALSE()),"Нужно решение")</f>
        <v>Выполнено, ждёт акта</v>
      </c>
      <c r="N412" s="10" t="s">
        <v>150</v>
      </c>
      <c r="O412" s="10" t="s">
        <v>151</v>
      </c>
      <c r="P412" s="22" t="str">
        <f aca="true">IF(AND(OR(M412="Не начато",M412="В работе",M412="Нужно решение"),C412&lt;TODAY()),TODAY()-C412,"")</f>
        <v/>
      </c>
      <c r="Q412" s="10" t="s">
        <v>238</v>
      </c>
      <c r="R412" s="10" t="s">
        <v>930</v>
      </c>
      <c r="S412" s="10"/>
      <c r="T412" s="10" t="s">
        <v>495</v>
      </c>
      <c r="U412" s="10" t="n">
        <v>432</v>
      </c>
    </row>
    <row r="413" customFormat="false" ht="23.85" hidden="false" customHeight="false" outlineLevel="0" collapsed="false">
      <c r="A413" s="10" t="n">
        <v>412</v>
      </c>
      <c r="B413" s="10" t="s">
        <v>89</v>
      </c>
      <c r="C413" s="21" t="n">
        <v>46326</v>
      </c>
      <c r="D413" s="10" t="s">
        <v>838</v>
      </c>
      <c r="E413" s="10" t="s">
        <v>112</v>
      </c>
      <c r="F413" s="10" t="s">
        <v>1021</v>
      </c>
      <c r="G413" s="10" t="s">
        <v>192</v>
      </c>
      <c r="H413" s="10" t="s">
        <v>1022</v>
      </c>
      <c r="I413" s="9"/>
      <c r="J413" s="9"/>
      <c r="K413" s="10" t="s">
        <v>95</v>
      </c>
      <c r="L413" s="10" t="s">
        <v>100</v>
      </c>
      <c r="M413" s="16" t="str">
        <f aca="false">IFERROR(VLOOKUP(N413,Словарь!$A$2:$B$15,2,FALSE()),"Нужно решение")</f>
        <v>Нужно решение</v>
      </c>
      <c r="N413" s="10" t="s">
        <v>812</v>
      </c>
      <c r="O413" s="10"/>
      <c r="P413" s="22" t="str">
        <f aca="true">IF(AND(OR(M413="Не начато",M413="В работе",M413="Нужно решение"),C413&lt;TODAY()),TODAY()-C413,"")</f>
        <v/>
      </c>
      <c r="Q413" s="10"/>
      <c r="R413" s="10"/>
      <c r="S413" s="10"/>
      <c r="T413" s="10"/>
      <c r="U413" s="10" t="n">
        <v>433</v>
      </c>
    </row>
    <row r="414" customFormat="false" ht="23.85" hidden="false" customHeight="false" outlineLevel="0" collapsed="false">
      <c r="A414" s="10" t="n">
        <v>413</v>
      </c>
      <c r="B414" s="10" t="s">
        <v>89</v>
      </c>
      <c r="C414" s="21" t="n">
        <v>46326</v>
      </c>
      <c r="D414" s="10" t="s">
        <v>841</v>
      </c>
      <c r="E414" s="10" t="s">
        <v>112</v>
      </c>
      <c r="F414" s="10" t="s">
        <v>1023</v>
      </c>
      <c r="G414" s="10" t="s">
        <v>188</v>
      </c>
      <c r="H414" s="10" t="s">
        <v>1024</v>
      </c>
      <c r="I414" s="9" t="n">
        <v>30000</v>
      </c>
      <c r="J414" s="9"/>
      <c r="K414" s="10" t="s">
        <v>97</v>
      </c>
      <c r="L414" s="10" t="s">
        <v>109</v>
      </c>
      <c r="M414" s="16" t="str">
        <f aca="false">IFERROR(VLOOKUP(N414,Словарь!$A$2:$B$15,2,FALSE()),"Нужно решение")</f>
        <v>Не начато</v>
      </c>
      <c r="N414" s="10" t="s">
        <v>10</v>
      </c>
      <c r="O414" s="10"/>
      <c r="P414" s="22" t="str">
        <f aca="true">IF(AND(OR(M414="Не начато",M414="В работе",M414="Нужно решение"),C414&lt;TODAY()),TODAY()-C414,"")</f>
        <v/>
      </c>
      <c r="Q414" s="10" t="s">
        <v>238</v>
      </c>
      <c r="R414" s="10" t="s">
        <v>1005</v>
      </c>
      <c r="S414" s="10"/>
      <c r="T414" s="10"/>
      <c r="U414" s="10" t="n">
        <v>434</v>
      </c>
    </row>
    <row r="415" customFormat="false" ht="23.85" hidden="false" customHeight="false" outlineLevel="0" collapsed="false">
      <c r="A415" s="10" t="n">
        <v>414</v>
      </c>
      <c r="B415" s="10" t="s">
        <v>89</v>
      </c>
      <c r="C415" s="21" t="n">
        <v>46326</v>
      </c>
      <c r="D415" s="10" t="s">
        <v>403</v>
      </c>
      <c r="E415" s="10" t="s">
        <v>113</v>
      </c>
      <c r="F415" s="10" t="s">
        <v>1025</v>
      </c>
      <c r="G415" s="10" t="s">
        <v>174</v>
      </c>
      <c r="H415" s="10" t="s">
        <v>1026</v>
      </c>
      <c r="I415" s="9" t="n">
        <v>2000</v>
      </c>
      <c r="J415" s="9"/>
      <c r="K415" s="10" t="s">
        <v>96</v>
      </c>
      <c r="L415" s="10" t="s">
        <v>102</v>
      </c>
      <c r="M415" s="16" t="str">
        <f aca="false">IFERROR(VLOOKUP(N415,Словарь!$A$2:$B$15,2,FALSE()),"Нужно решение")</f>
        <v>В работе</v>
      </c>
      <c r="N415" s="10" t="s">
        <v>13</v>
      </c>
      <c r="O415" s="10"/>
      <c r="P415" s="22" t="str">
        <f aca="true">IF(AND(OR(M415="Не начато",M415="В работе",M415="Нужно решение"),C415&lt;TODAY()),TODAY()-C415,"")</f>
        <v/>
      </c>
      <c r="Q415" s="10" t="s">
        <v>238</v>
      </c>
      <c r="R415" s="10" t="s">
        <v>933</v>
      </c>
      <c r="S415" s="10" t="s">
        <v>1027</v>
      </c>
      <c r="T415" s="10" t="s">
        <v>1028</v>
      </c>
      <c r="U415" s="10" t="n">
        <v>435</v>
      </c>
    </row>
    <row r="416" customFormat="false" ht="23.85" hidden="false" customHeight="false" outlineLevel="0" collapsed="false">
      <c r="A416" s="10" t="n">
        <v>415</v>
      </c>
      <c r="B416" s="10" t="s">
        <v>89</v>
      </c>
      <c r="C416" s="21" t="n">
        <v>46326</v>
      </c>
      <c r="D416" s="10" t="s">
        <v>462</v>
      </c>
      <c r="E416" s="10" t="s">
        <v>113</v>
      </c>
      <c r="F416" s="10" t="s">
        <v>1029</v>
      </c>
      <c r="G416" s="10" t="s">
        <v>192</v>
      </c>
      <c r="H416" s="10" t="s">
        <v>1030</v>
      </c>
      <c r="I416" s="9" t="n">
        <v>26000</v>
      </c>
      <c r="J416" s="9"/>
      <c r="K416" s="10" t="s">
        <v>95</v>
      </c>
      <c r="L416" s="10" t="s">
        <v>109</v>
      </c>
      <c r="M416" s="16" t="str">
        <f aca="false">IFERROR(VLOOKUP(N416,Словарь!$A$2:$B$15,2,FALSE()),"Нужно решение")</f>
        <v>В работе</v>
      </c>
      <c r="N416" s="10" t="s">
        <v>13</v>
      </c>
      <c r="O416" s="10"/>
      <c r="P416" s="22" t="str">
        <f aca="true">IF(AND(OR(M416="Не начато",M416="В работе",M416="Нужно решение"),C416&lt;TODAY()),TODAY()-C416,"")</f>
        <v/>
      </c>
      <c r="Q416" s="10" t="s">
        <v>77</v>
      </c>
      <c r="R416" s="10" t="s">
        <v>948</v>
      </c>
      <c r="S416" s="10"/>
      <c r="T416" s="10" t="s">
        <v>972</v>
      </c>
      <c r="U416" s="10" t="n">
        <v>436</v>
      </c>
    </row>
    <row r="417" customFormat="false" ht="23.85" hidden="false" customHeight="false" outlineLevel="0" collapsed="false">
      <c r="A417" s="10" t="n">
        <v>416</v>
      </c>
      <c r="B417" s="10" t="s">
        <v>89</v>
      </c>
      <c r="C417" s="21" t="n">
        <v>46326</v>
      </c>
      <c r="D417" s="10" t="s">
        <v>886</v>
      </c>
      <c r="E417" s="10" t="s">
        <v>113</v>
      </c>
      <c r="F417" s="10" t="s">
        <v>1031</v>
      </c>
      <c r="G417" s="10" t="s">
        <v>158</v>
      </c>
      <c r="H417" s="10" t="s">
        <v>1032</v>
      </c>
      <c r="I417" s="9"/>
      <c r="J417" s="9"/>
      <c r="K417" s="10" t="s">
        <v>96</v>
      </c>
      <c r="L417" s="10" t="s">
        <v>101</v>
      </c>
      <c r="M417" s="16" t="str">
        <f aca="false">IFERROR(VLOOKUP(N417,Словарь!$A$2:$B$15,2,FALSE()),"Нужно решение")</f>
        <v>Выполнено, ждёт акта</v>
      </c>
      <c r="N417" s="10" t="s">
        <v>150</v>
      </c>
      <c r="O417" s="10" t="s">
        <v>171</v>
      </c>
      <c r="P417" s="22" t="str">
        <f aca="true">IF(AND(OR(M417="Не начато",M417="В работе",M417="Нужно решение"),C417&lt;TODAY()),TODAY()-C417,"")</f>
        <v/>
      </c>
      <c r="Q417" s="10" t="s">
        <v>238</v>
      </c>
      <c r="R417" s="10" t="s">
        <v>930</v>
      </c>
      <c r="S417" s="10"/>
      <c r="T417" s="10" t="s">
        <v>495</v>
      </c>
      <c r="U417" s="10" t="n">
        <v>437</v>
      </c>
    </row>
    <row r="418" customFormat="false" ht="23.85" hidden="false" customHeight="false" outlineLevel="0" collapsed="false">
      <c r="A418" s="10" t="n">
        <v>417</v>
      </c>
      <c r="B418" s="10" t="s">
        <v>89</v>
      </c>
      <c r="C418" s="21" t="n">
        <v>46326</v>
      </c>
      <c r="D418" s="10" t="s">
        <v>413</v>
      </c>
      <c r="E418" s="10" t="s">
        <v>112</v>
      </c>
      <c r="F418" s="10" t="s">
        <v>1033</v>
      </c>
      <c r="G418" s="10" t="s">
        <v>174</v>
      </c>
      <c r="H418" s="10" t="s">
        <v>1034</v>
      </c>
      <c r="I418" s="9"/>
      <c r="J418" s="9"/>
      <c r="K418" s="10" t="s">
        <v>96</v>
      </c>
      <c r="L418" s="10" t="s">
        <v>108</v>
      </c>
      <c r="M418" s="16" t="str">
        <f aca="false">IFERROR(VLOOKUP(N418,Словарь!$A$2:$B$15,2,FALSE()),"Нужно решение")</f>
        <v>Выполнено, ждёт акта</v>
      </c>
      <c r="N418" s="10" t="s">
        <v>150</v>
      </c>
      <c r="O418" s="10" t="s">
        <v>151</v>
      </c>
      <c r="P418" s="22" t="str">
        <f aca="true">IF(AND(OR(M418="Не начато",M418="В работе",M418="Нужно решение"),C418&lt;TODAY()),TODAY()-C418,"")</f>
        <v/>
      </c>
      <c r="Q418" s="10" t="s">
        <v>238</v>
      </c>
      <c r="R418" s="10" t="s">
        <v>930</v>
      </c>
      <c r="S418" s="10"/>
      <c r="T418" s="10" t="s">
        <v>495</v>
      </c>
      <c r="U418" s="10" t="n">
        <v>438</v>
      </c>
    </row>
    <row r="419" customFormat="false" ht="23.85" hidden="false" customHeight="false" outlineLevel="0" collapsed="false">
      <c r="A419" s="10" t="n">
        <v>418</v>
      </c>
      <c r="B419" s="10" t="s">
        <v>89</v>
      </c>
      <c r="C419" s="21" t="n">
        <v>46326</v>
      </c>
      <c r="D419" s="10" t="s">
        <v>904</v>
      </c>
      <c r="E419" s="10" t="s">
        <v>112</v>
      </c>
      <c r="F419" s="10" t="s">
        <v>1035</v>
      </c>
      <c r="G419" s="10" t="s">
        <v>174</v>
      </c>
      <c r="H419" s="10" t="s">
        <v>1036</v>
      </c>
      <c r="I419" s="9"/>
      <c r="J419" s="9"/>
      <c r="K419" s="10" t="s">
        <v>96</v>
      </c>
      <c r="L419" s="10" t="s">
        <v>108</v>
      </c>
      <c r="M419" s="16" t="str">
        <f aca="false">IFERROR(VLOOKUP(N419,Словарь!$A$2:$B$15,2,FALSE()),"Нужно решение")</f>
        <v>В работе</v>
      </c>
      <c r="N419" s="10" t="s">
        <v>505</v>
      </c>
      <c r="O419" s="10"/>
      <c r="P419" s="22" t="str">
        <f aca="true">IF(AND(OR(M419="Не начато",M419="В работе",M419="Нужно решение"),C419&lt;TODAY()),TODAY()-C419,"")</f>
        <v/>
      </c>
      <c r="Q419" s="10" t="s">
        <v>238</v>
      </c>
      <c r="R419" s="10" t="s">
        <v>930</v>
      </c>
      <c r="S419" s="10"/>
      <c r="T419" s="10" t="s">
        <v>968</v>
      </c>
      <c r="U419" s="10" t="n">
        <v>440</v>
      </c>
    </row>
    <row r="420" customFormat="false" ht="23.85" hidden="false" customHeight="false" outlineLevel="0" collapsed="false">
      <c r="A420" s="10" t="n">
        <v>419</v>
      </c>
      <c r="B420" s="10" t="s">
        <v>89</v>
      </c>
      <c r="C420" s="21" t="n">
        <v>46326</v>
      </c>
      <c r="D420" s="10" t="s">
        <v>904</v>
      </c>
      <c r="E420" s="10" t="s">
        <v>112</v>
      </c>
      <c r="F420" s="10" t="s">
        <v>1037</v>
      </c>
      <c r="G420" s="10" t="s">
        <v>174</v>
      </c>
      <c r="H420" s="10" t="s">
        <v>1038</v>
      </c>
      <c r="I420" s="9"/>
      <c r="J420" s="9"/>
      <c r="K420" s="10" t="s">
        <v>96</v>
      </c>
      <c r="L420" s="10" t="s">
        <v>108</v>
      </c>
      <c r="M420" s="16" t="str">
        <f aca="false">IFERROR(VLOOKUP(N420,Словарь!$A$2:$B$15,2,FALSE()),"Нужно решение")</f>
        <v>В работе</v>
      </c>
      <c r="N420" s="10" t="s">
        <v>505</v>
      </c>
      <c r="O420" s="10"/>
      <c r="P420" s="22" t="str">
        <f aca="true">IF(AND(OR(M420="Не начато",M420="В работе",M420="Нужно решение"),C420&lt;TODAY()),TODAY()-C420,"")</f>
        <v/>
      </c>
      <c r="Q420" s="10" t="s">
        <v>238</v>
      </c>
      <c r="R420" s="10" t="s">
        <v>930</v>
      </c>
      <c r="S420" s="10"/>
      <c r="T420" s="10" t="s">
        <v>968</v>
      </c>
      <c r="U420" s="10" t="n">
        <v>441</v>
      </c>
    </row>
    <row r="421" customFormat="false" ht="23.85" hidden="false" customHeight="false" outlineLevel="0" collapsed="false">
      <c r="A421" s="10" t="n">
        <v>420</v>
      </c>
      <c r="B421" s="10" t="s">
        <v>89</v>
      </c>
      <c r="C421" s="21" t="n">
        <v>46326</v>
      </c>
      <c r="D421" s="10" t="s">
        <v>314</v>
      </c>
      <c r="E421" s="10" t="s">
        <v>112</v>
      </c>
      <c r="F421" s="10" t="s">
        <v>1039</v>
      </c>
      <c r="G421" s="10" t="s">
        <v>142</v>
      </c>
      <c r="H421" s="10"/>
      <c r="I421" s="9"/>
      <c r="J421" s="9"/>
      <c r="K421" s="10" t="s">
        <v>96</v>
      </c>
      <c r="L421" s="10" t="s">
        <v>108</v>
      </c>
      <c r="M421" s="16" t="str">
        <f aca="false">IFERROR(VLOOKUP(N421,Словарь!$A$2:$B$15,2,FALSE()),"Нужно решение")</f>
        <v>Выполнено, ждёт акта</v>
      </c>
      <c r="N421" s="10" t="s">
        <v>150</v>
      </c>
      <c r="O421" s="10" t="s">
        <v>151</v>
      </c>
      <c r="P421" s="22" t="str">
        <f aca="true">IF(AND(OR(M421="Не начато",M421="В работе",M421="Нужно решение"),C421&lt;TODAY()),TODAY()-C421,"")</f>
        <v/>
      </c>
      <c r="Q421" s="10" t="s">
        <v>238</v>
      </c>
      <c r="R421" s="10" t="s">
        <v>930</v>
      </c>
      <c r="S421" s="10"/>
      <c r="T421" s="10" t="s">
        <v>495</v>
      </c>
      <c r="U421" s="10" t="n">
        <v>439</v>
      </c>
    </row>
    <row r="422" customFormat="false" ht="23.85" hidden="false" customHeight="false" outlineLevel="0" collapsed="false">
      <c r="A422" s="10" t="n">
        <v>421</v>
      </c>
      <c r="B422" s="10" t="s">
        <v>89</v>
      </c>
      <c r="C422" s="21" t="n">
        <v>46326</v>
      </c>
      <c r="D422" s="10" t="s">
        <v>172</v>
      </c>
      <c r="E422" s="10" t="s">
        <v>113</v>
      </c>
      <c r="F422" s="10" t="s">
        <v>1040</v>
      </c>
      <c r="G422" s="10" t="s">
        <v>142</v>
      </c>
      <c r="H422" s="10" t="s">
        <v>1041</v>
      </c>
      <c r="I422" s="9"/>
      <c r="J422" s="9"/>
      <c r="K422" s="10" t="s">
        <v>95</v>
      </c>
      <c r="L422" s="10" t="s">
        <v>100</v>
      </c>
      <c r="M422" s="16" t="str">
        <f aca="false">IFERROR(VLOOKUP(N422,Словарь!$A$2:$B$15,2,FALSE()),"Нужно решение")</f>
        <v>Выполнено, ждёт акта</v>
      </c>
      <c r="N422" s="10" t="s">
        <v>150</v>
      </c>
      <c r="O422" s="10"/>
      <c r="P422" s="22" t="str">
        <f aca="true">IF(AND(OR(M422="Не начато",M422="В работе",M422="Нужно решение"),C422&lt;TODAY()),TODAY()-C422,"")</f>
        <v/>
      </c>
      <c r="Q422" s="10"/>
      <c r="R422" s="10"/>
      <c r="S422" s="10"/>
      <c r="T422" s="10" t="s">
        <v>806</v>
      </c>
      <c r="U422" s="10" t="n">
        <v>442</v>
      </c>
    </row>
    <row r="423" customFormat="false" ht="23.85" hidden="false" customHeight="false" outlineLevel="0" collapsed="false">
      <c r="A423" s="10" t="n">
        <v>422</v>
      </c>
      <c r="B423" s="10" t="s">
        <v>89</v>
      </c>
      <c r="C423" s="21" t="n">
        <v>46326</v>
      </c>
      <c r="D423" s="10" t="s">
        <v>264</v>
      </c>
      <c r="E423" s="10" t="s">
        <v>113</v>
      </c>
      <c r="F423" s="10" t="s">
        <v>1042</v>
      </c>
      <c r="G423" s="10" t="s">
        <v>188</v>
      </c>
      <c r="H423" s="10" t="s">
        <v>1043</v>
      </c>
      <c r="I423" s="9" t="n">
        <v>30000</v>
      </c>
      <c r="J423" s="9"/>
      <c r="K423" s="10" t="s">
        <v>96</v>
      </c>
      <c r="L423" s="10" t="s">
        <v>108</v>
      </c>
      <c r="M423" s="16" t="str">
        <f aca="false">IFERROR(VLOOKUP(N423,Словарь!$A$2:$B$15,2,FALSE()),"Нужно решение")</f>
        <v>В работе</v>
      </c>
      <c r="N423" s="10" t="s">
        <v>13</v>
      </c>
      <c r="O423" s="10"/>
      <c r="P423" s="22" t="str">
        <f aca="true">IF(AND(OR(M423="Не начато",M423="В работе",M423="Нужно решение"),C423&lt;TODAY()),TODAY()-C423,"")</f>
        <v/>
      </c>
      <c r="Q423" s="10" t="s">
        <v>238</v>
      </c>
      <c r="R423" s="10" t="s">
        <v>933</v>
      </c>
      <c r="S423" s="10"/>
      <c r="T423" s="10" t="s">
        <v>1044</v>
      </c>
      <c r="U423" s="10" t="n">
        <v>444</v>
      </c>
    </row>
    <row r="424" customFormat="false" ht="23.85" hidden="false" customHeight="false" outlineLevel="0" collapsed="false">
      <c r="A424" s="10" t="n">
        <v>423</v>
      </c>
      <c r="B424" s="10" t="s">
        <v>89</v>
      </c>
      <c r="C424" s="21" t="n">
        <v>46326</v>
      </c>
      <c r="D424" s="10" t="s">
        <v>264</v>
      </c>
      <c r="E424" s="10" t="s">
        <v>113</v>
      </c>
      <c r="F424" s="10" t="s">
        <v>1045</v>
      </c>
      <c r="G424" s="10" t="s">
        <v>174</v>
      </c>
      <c r="H424" s="10" t="s">
        <v>1046</v>
      </c>
      <c r="I424" s="9"/>
      <c r="J424" s="9"/>
      <c r="K424" s="10" t="s">
        <v>96</v>
      </c>
      <c r="L424" s="10" t="s">
        <v>108</v>
      </c>
      <c r="M424" s="16" t="str">
        <f aca="false">IFERROR(VLOOKUP(N424,Словарь!$A$2:$B$15,2,FALSE()),"Нужно решение")</f>
        <v>В работе</v>
      </c>
      <c r="N424" s="10" t="s">
        <v>13</v>
      </c>
      <c r="O424" s="10"/>
      <c r="P424" s="22" t="str">
        <f aca="true">IF(AND(OR(M424="Не начато",M424="В работе",M424="Нужно решение"),C424&lt;TODAY()),TODAY()-C424,"")</f>
        <v/>
      </c>
      <c r="Q424" s="10" t="s">
        <v>238</v>
      </c>
      <c r="R424" s="10" t="s">
        <v>889</v>
      </c>
      <c r="S424" s="10"/>
      <c r="T424" s="10" t="s">
        <v>569</v>
      </c>
      <c r="U424" s="10" t="n">
        <v>445</v>
      </c>
    </row>
    <row r="425" customFormat="false" ht="23.85" hidden="false" customHeight="false" outlineLevel="0" collapsed="false">
      <c r="A425" s="10" t="n">
        <v>424</v>
      </c>
      <c r="B425" s="10" t="s">
        <v>89</v>
      </c>
      <c r="C425" s="21" t="n">
        <v>46326</v>
      </c>
      <c r="D425" s="10" t="s">
        <v>264</v>
      </c>
      <c r="E425" s="10" t="s">
        <v>113</v>
      </c>
      <c r="F425" s="10" t="s">
        <v>1047</v>
      </c>
      <c r="G425" s="10" t="s">
        <v>158</v>
      </c>
      <c r="H425" s="10" t="s">
        <v>1048</v>
      </c>
      <c r="I425" s="9"/>
      <c r="J425" s="9"/>
      <c r="K425" s="10" t="s">
        <v>95</v>
      </c>
      <c r="L425" s="10" t="s">
        <v>100</v>
      </c>
      <c r="M425" s="16" t="str">
        <f aca="false">IFERROR(VLOOKUP(N425,Словарь!$A$2:$B$15,2,FALSE()),"Нужно решение")</f>
        <v>Не начато</v>
      </c>
      <c r="N425" s="10" t="s">
        <v>10</v>
      </c>
      <c r="O425" s="10"/>
      <c r="P425" s="22" t="str">
        <f aca="true">IF(AND(OR(M425="Не начато",M425="В работе",M425="Нужно решение"),C425&lt;TODAY()),TODAY()-C425,"")</f>
        <v/>
      </c>
      <c r="Q425" s="10" t="s">
        <v>238</v>
      </c>
      <c r="R425" s="10" t="s">
        <v>930</v>
      </c>
      <c r="S425" s="10"/>
      <c r="T425" s="10"/>
      <c r="U425" s="10" t="n">
        <v>446</v>
      </c>
    </row>
    <row r="426" customFormat="false" ht="35.05" hidden="false" customHeight="false" outlineLevel="0" collapsed="false">
      <c r="A426" s="10" t="n">
        <v>425</v>
      </c>
      <c r="B426" s="10" t="s">
        <v>89</v>
      </c>
      <c r="C426" s="21" t="n">
        <v>46326</v>
      </c>
      <c r="D426" s="10" t="s">
        <v>211</v>
      </c>
      <c r="E426" s="10" t="s">
        <v>113</v>
      </c>
      <c r="F426" s="10" t="s">
        <v>1049</v>
      </c>
      <c r="G426" s="10" t="s">
        <v>174</v>
      </c>
      <c r="H426" s="10" t="s">
        <v>1050</v>
      </c>
      <c r="I426" s="9" t="n">
        <v>100000</v>
      </c>
      <c r="J426" s="9"/>
      <c r="K426" s="10" t="s">
        <v>96</v>
      </c>
      <c r="L426" s="10" t="s">
        <v>101</v>
      </c>
      <c r="M426" s="16" t="str">
        <f aca="false">IFERROR(VLOOKUP(N426,Словарь!$A$2:$B$15,2,FALSE()),"Нужно решение")</f>
        <v>Выполнено, ждёт акта</v>
      </c>
      <c r="N426" s="10" t="s">
        <v>150</v>
      </c>
      <c r="O426" s="10" t="s">
        <v>171</v>
      </c>
      <c r="P426" s="22" t="str">
        <f aca="true">IF(AND(OR(M426="Не начато",M426="В работе",M426="Нужно решение"),C426&lt;TODAY()),TODAY()-C426,"")</f>
        <v/>
      </c>
      <c r="Q426" s="10" t="s">
        <v>77</v>
      </c>
      <c r="R426" s="10" t="s">
        <v>948</v>
      </c>
      <c r="S426" s="10" t="s">
        <v>949</v>
      </c>
      <c r="T426" s="10" t="s">
        <v>950</v>
      </c>
      <c r="U426" s="10" t="n">
        <v>443</v>
      </c>
    </row>
    <row r="427" customFormat="false" ht="35.05" hidden="false" customHeight="false" outlineLevel="0" collapsed="false">
      <c r="A427" s="10" t="n">
        <v>426</v>
      </c>
      <c r="B427" s="10" t="s">
        <v>90</v>
      </c>
      <c r="C427" s="21" t="n">
        <v>46356</v>
      </c>
      <c r="D427" s="10" t="s">
        <v>927</v>
      </c>
      <c r="E427" s="10" t="s">
        <v>112</v>
      </c>
      <c r="F427" s="10" t="s">
        <v>1051</v>
      </c>
      <c r="G427" s="10" t="s">
        <v>174</v>
      </c>
      <c r="H427" s="10" t="s">
        <v>1052</v>
      </c>
      <c r="I427" s="9" t="n">
        <v>30000</v>
      </c>
      <c r="J427" s="9"/>
      <c r="K427" s="10" t="s">
        <v>97</v>
      </c>
      <c r="L427" s="10" t="s">
        <v>109</v>
      </c>
      <c r="M427" s="16" t="str">
        <f aca="false">IFERROR(VLOOKUP(N427,Словарь!$A$2:$B$15,2,FALSE()),"Нужно решение")</f>
        <v>Не начато</v>
      </c>
      <c r="N427" s="10" t="s">
        <v>10</v>
      </c>
      <c r="O427" s="10"/>
      <c r="P427" s="22" t="str">
        <f aca="true">IF(AND(OR(M427="Не начато",M427="В работе",M427="Нужно решение"),C427&lt;TODAY()),TODAY()-C427,"")</f>
        <v/>
      </c>
      <c r="Q427" s="10" t="s">
        <v>238</v>
      </c>
      <c r="R427" s="10" t="s">
        <v>920</v>
      </c>
      <c r="S427" s="10"/>
      <c r="T427" s="10"/>
      <c r="U427" s="10" t="n">
        <v>449</v>
      </c>
    </row>
    <row r="428" customFormat="false" ht="35.05" hidden="false" customHeight="false" outlineLevel="0" collapsed="false">
      <c r="A428" s="10" t="n">
        <v>427</v>
      </c>
      <c r="B428" s="10" t="s">
        <v>90</v>
      </c>
      <c r="C428" s="21" t="n">
        <v>46356</v>
      </c>
      <c r="D428" s="10" t="s">
        <v>501</v>
      </c>
      <c r="E428" s="10" t="s">
        <v>112</v>
      </c>
      <c r="F428" s="10" t="s">
        <v>1053</v>
      </c>
      <c r="G428" s="10" t="s">
        <v>245</v>
      </c>
      <c r="H428" s="10" t="s">
        <v>932</v>
      </c>
      <c r="I428" s="9" t="n">
        <v>3000</v>
      </c>
      <c r="J428" s="9"/>
      <c r="K428" s="10" t="s">
        <v>96</v>
      </c>
      <c r="L428" s="10" t="s">
        <v>106</v>
      </c>
      <c r="M428" s="16" t="str">
        <f aca="false">IFERROR(VLOOKUP(N428,Словарь!$A$2:$B$15,2,FALSE()),"Нужно решение")</f>
        <v>В работе</v>
      </c>
      <c r="N428" s="10" t="s">
        <v>505</v>
      </c>
      <c r="O428" s="10"/>
      <c r="P428" s="22" t="str">
        <f aca="true">IF(AND(OR(M428="Не начато",M428="В работе",M428="Нужно решение"),C428&lt;TODAY()),TODAY()-C428,"")</f>
        <v/>
      </c>
      <c r="Q428" s="10" t="s">
        <v>238</v>
      </c>
      <c r="R428" s="10" t="s">
        <v>1054</v>
      </c>
      <c r="S428" s="10"/>
      <c r="T428" s="10" t="s">
        <v>934</v>
      </c>
      <c r="U428" s="10" t="n">
        <v>450</v>
      </c>
    </row>
    <row r="429" customFormat="false" ht="35.05" hidden="false" customHeight="false" outlineLevel="0" collapsed="false">
      <c r="A429" s="10" t="n">
        <v>428</v>
      </c>
      <c r="B429" s="10" t="s">
        <v>90</v>
      </c>
      <c r="C429" s="21" t="n">
        <v>46356</v>
      </c>
      <c r="D429" s="10" t="s">
        <v>510</v>
      </c>
      <c r="E429" s="10" t="s">
        <v>112</v>
      </c>
      <c r="F429" s="10" t="s">
        <v>1055</v>
      </c>
      <c r="G429" s="10" t="s">
        <v>158</v>
      </c>
      <c r="H429" s="10" t="s">
        <v>1056</v>
      </c>
      <c r="I429" s="9" t="n">
        <v>20000</v>
      </c>
      <c r="J429" s="9"/>
      <c r="K429" s="10" t="s">
        <v>97</v>
      </c>
      <c r="L429" s="10" t="s">
        <v>109</v>
      </c>
      <c r="M429" s="16" t="str">
        <f aca="false">IFERROR(VLOOKUP(N429,Словарь!$A$2:$B$15,2,FALSE()),"Нужно решение")</f>
        <v>Не начато</v>
      </c>
      <c r="N429" s="10" t="s">
        <v>10</v>
      </c>
      <c r="O429" s="10"/>
      <c r="P429" s="22" t="str">
        <f aca="true">IF(AND(OR(M429="Не начато",M429="В работе",M429="Нужно решение"),C429&lt;TODAY()),TODAY()-C429,"")</f>
        <v/>
      </c>
      <c r="Q429" s="10" t="s">
        <v>238</v>
      </c>
      <c r="R429" s="10" t="s">
        <v>1057</v>
      </c>
      <c r="S429" s="10"/>
      <c r="T429" s="10"/>
      <c r="U429" s="10" t="n">
        <v>451</v>
      </c>
    </row>
    <row r="430" customFormat="false" ht="35.05" hidden="false" customHeight="false" outlineLevel="0" collapsed="false">
      <c r="A430" s="10" t="n">
        <v>429</v>
      </c>
      <c r="B430" s="10" t="s">
        <v>90</v>
      </c>
      <c r="C430" s="21" t="n">
        <v>46356</v>
      </c>
      <c r="D430" s="10" t="s">
        <v>572</v>
      </c>
      <c r="E430" s="10" t="s">
        <v>115</v>
      </c>
      <c r="F430" s="10" t="s">
        <v>1058</v>
      </c>
      <c r="G430" s="10" t="s">
        <v>192</v>
      </c>
      <c r="H430" s="10" t="s">
        <v>1059</v>
      </c>
      <c r="I430" s="9" t="n">
        <v>15000</v>
      </c>
      <c r="J430" s="9"/>
      <c r="K430" s="10" t="s">
        <v>95</v>
      </c>
      <c r="L430" s="10" t="s">
        <v>103</v>
      </c>
      <c r="M430" s="16" t="str">
        <f aca="false">IFERROR(VLOOKUP(N430,Словарь!$A$2:$B$15,2,FALSE()),"Нужно решение")</f>
        <v>Не начато</v>
      </c>
      <c r="N430" s="10" t="s">
        <v>10</v>
      </c>
      <c r="O430" s="10"/>
      <c r="P430" s="22" t="str">
        <f aca="true">IF(AND(OR(M430="Не начато",M430="В работе",M430="Нужно решение"),C430&lt;TODAY()),TODAY()-C430,"")</f>
        <v/>
      </c>
      <c r="Q430" s="10" t="s">
        <v>238</v>
      </c>
      <c r="R430" s="10" t="s">
        <v>1060</v>
      </c>
      <c r="S430" s="10"/>
      <c r="T430" s="10"/>
      <c r="U430" s="10" t="n">
        <v>452</v>
      </c>
    </row>
    <row r="431" customFormat="false" ht="35.05" hidden="false" customHeight="false" outlineLevel="0" collapsed="false">
      <c r="A431" s="10" t="n">
        <v>430</v>
      </c>
      <c r="B431" s="10" t="s">
        <v>90</v>
      </c>
      <c r="C431" s="21" t="n">
        <v>46356</v>
      </c>
      <c r="D431" s="10" t="s">
        <v>1061</v>
      </c>
      <c r="E431" s="10" t="s">
        <v>113</v>
      </c>
      <c r="F431" s="10" t="s">
        <v>1062</v>
      </c>
      <c r="G431" s="10" t="s">
        <v>158</v>
      </c>
      <c r="H431" s="10" t="s">
        <v>1063</v>
      </c>
      <c r="I431" s="9" t="n">
        <v>21000</v>
      </c>
      <c r="J431" s="9"/>
      <c r="K431" s="10" t="s">
        <v>96</v>
      </c>
      <c r="L431" s="10" t="s">
        <v>103</v>
      </c>
      <c r="M431" s="16" t="str">
        <f aca="false">IFERROR(VLOOKUP(N431,Словарь!$A$2:$B$15,2,FALSE()),"Нужно решение")</f>
        <v>В работе</v>
      </c>
      <c r="N431" s="10" t="s">
        <v>505</v>
      </c>
      <c r="O431" s="10"/>
      <c r="P431" s="22" t="str">
        <f aca="true">IF(AND(OR(M431="Не начато",M431="В работе",M431="Нужно решение"),C431&lt;TODAY()),TODAY()-C431,"")</f>
        <v/>
      </c>
      <c r="Q431" s="10" t="s">
        <v>238</v>
      </c>
      <c r="R431" s="10" t="s">
        <v>1064</v>
      </c>
      <c r="S431" s="10"/>
      <c r="T431" s="10" t="s">
        <v>1065</v>
      </c>
      <c r="U431" s="10" t="n">
        <v>453</v>
      </c>
    </row>
    <row r="432" customFormat="false" ht="23.85" hidden="false" customHeight="false" outlineLevel="0" collapsed="false">
      <c r="A432" s="10" t="n">
        <v>431</v>
      </c>
      <c r="B432" s="10" t="s">
        <v>90</v>
      </c>
      <c r="C432" s="21" t="n">
        <v>46356</v>
      </c>
      <c r="D432" s="10" t="s">
        <v>279</v>
      </c>
      <c r="E432" s="10" t="s">
        <v>112</v>
      </c>
      <c r="F432" s="10" t="s">
        <v>1066</v>
      </c>
      <c r="G432" s="10" t="s">
        <v>148</v>
      </c>
      <c r="H432" s="10" t="s">
        <v>1067</v>
      </c>
      <c r="I432" s="9" t="n">
        <v>6000</v>
      </c>
      <c r="J432" s="9"/>
      <c r="K432" s="10" t="s">
        <v>96</v>
      </c>
      <c r="L432" s="10" t="s">
        <v>103</v>
      </c>
      <c r="M432" s="16" t="str">
        <f aca="false">IFERROR(VLOOKUP(N432,Словарь!$A$2:$B$15,2,FALSE()),"Нужно решение")</f>
        <v>Не начато</v>
      </c>
      <c r="N432" s="10" t="s">
        <v>10</v>
      </c>
      <c r="O432" s="10"/>
      <c r="P432" s="22" t="str">
        <f aca="true">IF(AND(OR(M432="Не начато",M432="В работе",M432="Нужно решение"),C432&lt;TODAY()),TODAY()-C432,"")</f>
        <v/>
      </c>
      <c r="Q432" s="10"/>
      <c r="R432" s="10"/>
      <c r="S432" s="10"/>
      <c r="T432" s="10"/>
      <c r="U432" s="10" t="n">
        <v>454</v>
      </c>
    </row>
    <row r="433" customFormat="false" ht="35.05" hidden="false" customHeight="false" outlineLevel="0" collapsed="false">
      <c r="A433" s="10" t="n">
        <v>432</v>
      </c>
      <c r="B433" s="10" t="s">
        <v>90</v>
      </c>
      <c r="C433" s="21" t="n">
        <v>46356</v>
      </c>
      <c r="D433" s="10" t="s">
        <v>1068</v>
      </c>
      <c r="E433" s="10" t="s">
        <v>112</v>
      </c>
      <c r="F433" s="10" t="s">
        <v>1069</v>
      </c>
      <c r="G433" s="10" t="s">
        <v>148</v>
      </c>
      <c r="H433" s="10" t="s">
        <v>1070</v>
      </c>
      <c r="I433" s="9" t="n">
        <v>6000</v>
      </c>
      <c r="J433" s="9"/>
      <c r="K433" s="10" t="s">
        <v>97</v>
      </c>
      <c r="L433" s="10" t="s">
        <v>109</v>
      </c>
      <c r="M433" s="16" t="str">
        <f aca="false">IFERROR(VLOOKUP(N433,Словарь!$A$2:$B$15,2,FALSE()),"Нужно решение")</f>
        <v>Не начато</v>
      </c>
      <c r="N433" s="10" t="s">
        <v>10</v>
      </c>
      <c r="O433" s="10"/>
      <c r="P433" s="22" t="str">
        <f aca="true">IF(AND(OR(M433="Не начато",M433="В работе",M433="Нужно решение"),C433&lt;TODAY()),TODAY()-C433,"")</f>
        <v/>
      </c>
      <c r="Q433" s="10" t="s">
        <v>238</v>
      </c>
      <c r="R433" s="10" t="s">
        <v>1060</v>
      </c>
      <c r="S433" s="10" t="s">
        <v>1071</v>
      </c>
      <c r="T433" s="10"/>
      <c r="U433" s="10"/>
    </row>
    <row r="434" customFormat="false" ht="35.05" hidden="false" customHeight="false" outlineLevel="0" collapsed="false">
      <c r="A434" s="10" t="n">
        <v>433</v>
      </c>
      <c r="B434" s="10" t="s">
        <v>90</v>
      </c>
      <c r="C434" s="21" t="n">
        <v>46356</v>
      </c>
      <c r="D434" s="10" t="s">
        <v>227</v>
      </c>
      <c r="E434" s="10" t="s">
        <v>112</v>
      </c>
      <c r="F434" s="10" t="s">
        <v>394</v>
      </c>
      <c r="G434" s="10" t="s">
        <v>192</v>
      </c>
      <c r="H434" s="10" t="s">
        <v>1072</v>
      </c>
      <c r="I434" s="9" t="n">
        <v>200000</v>
      </c>
      <c r="J434" s="9"/>
      <c r="K434" s="10" t="s">
        <v>97</v>
      </c>
      <c r="L434" s="10" t="s">
        <v>109</v>
      </c>
      <c r="M434" s="16" t="str">
        <f aca="false">IFERROR(VLOOKUP(N434,Словарь!$A$2:$B$15,2,FALSE()),"Нужно решение")</f>
        <v>Не начато</v>
      </c>
      <c r="N434" s="10" t="s">
        <v>10</v>
      </c>
      <c r="O434" s="10"/>
      <c r="P434" s="22" t="str">
        <f aca="true">IF(AND(OR(M434="Не начато",M434="В работе",M434="Нужно решение"),C434&lt;TODAY()),TODAY()-C434,"")</f>
        <v/>
      </c>
      <c r="Q434" s="10" t="s">
        <v>238</v>
      </c>
      <c r="R434" s="10" t="s">
        <v>1073</v>
      </c>
      <c r="S434" s="10"/>
      <c r="T434" s="10"/>
      <c r="U434" s="10" t="n">
        <v>455</v>
      </c>
    </row>
    <row r="435" customFormat="false" ht="35.05" hidden="false" customHeight="false" outlineLevel="0" collapsed="false">
      <c r="A435" s="10" t="n">
        <v>434</v>
      </c>
      <c r="B435" s="10" t="s">
        <v>90</v>
      </c>
      <c r="C435" s="21" t="n">
        <v>46356</v>
      </c>
      <c r="D435" s="10" t="s">
        <v>655</v>
      </c>
      <c r="E435" s="10" t="s">
        <v>113</v>
      </c>
      <c r="F435" s="10" t="s">
        <v>1074</v>
      </c>
      <c r="G435" s="10" t="s">
        <v>183</v>
      </c>
      <c r="H435" s="10" t="s">
        <v>1075</v>
      </c>
      <c r="I435" s="9" t="n">
        <v>10000</v>
      </c>
      <c r="J435" s="9"/>
      <c r="K435" s="10" t="s">
        <v>97</v>
      </c>
      <c r="L435" s="10" t="s">
        <v>109</v>
      </c>
      <c r="M435" s="16" t="str">
        <f aca="false">IFERROR(VLOOKUP(N435,Словарь!$A$2:$B$15,2,FALSE()),"Нужно решение")</f>
        <v>Не начато</v>
      </c>
      <c r="N435" s="10" t="s">
        <v>10</v>
      </c>
      <c r="O435" s="10"/>
      <c r="P435" s="22" t="str">
        <f aca="true">IF(AND(OR(M435="Не начато",M435="В работе",M435="Нужно решение"),C435&lt;TODAY()),TODAY()-C435,"")</f>
        <v/>
      </c>
      <c r="Q435" s="10" t="s">
        <v>238</v>
      </c>
      <c r="R435" s="10" t="s">
        <v>1073</v>
      </c>
      <c r="S435" s="10"/>
      <c r="T435" s="10"/>
      <c r="U435" s="10" t="n">
        <v>456</v>
      </c>
    </row>
    <row r="436" customFormat="false" ht="35.05" hidden="false" customHeight="false" outlineLevel="0" collapsed="false">
      <c r="A436" s="10" t="n">
        <v>435</v>
      </c>
      <c r="B436" s="10" t="s">
        <v>90</v>
      </c>
      <c r="C436" s="21" t="n">
        <v>46356</v>
      </c>
      <c r="D436" s="10" t="s">
        <v>667</v>
      </c>
      <c r="E436" s="10" t="s">
        <v>112</v>
      </c>
      <c r="F436" s="10" t="s">
        <v>1076</v>
      </c>
      <c r="G436" s="10" t="s">
        <v>192</v>
      </c>
      <c r="H436" s="10" t="s">
        <v>1077</v>
      </c>
      <c r="I436" s="9" t="n">
        <v>26000</v>
      </c>
      <c r="J436" s="9"/>
      <c r="K436" s="10" t="s">
        <v>95</v>
      </c>
      <c r="L436" s="10" t="s">
        <v>104</v>
      </c>
      <c r="M436" s="16" t="str">
        <f aca="false">IFERROR(VLOOKUP(N436,Словарь!$A$2:$B$15,2,FALSE()),"Нужно решение")</f>
        <v>Не начато</v>
      </c>
      <c r="N436" s="10" t="s">
        <v>10</v>
      </c>
      <c r="O436" s="10"/>
      <c r="P436" s="22" t="str">
        <f aca="true">IF(AND(OR(M436="Не начато",M436="В работе",M436="Нужно решение"),C436&lt;TODAY()),TODAY()-C436,"")</f>
        <v/>
      </c>
      <c r="Q436" s="10" t="s">
        <v>238</v>
      </c>
      <c r="R436" s="10" t="s">
        <v>1054</v>
      </c>
      <c r="S436" s="10"/>
      <c r="T436" s="10"/>
      <c r="U436" s="10" t="n">
        <v>457</v>
      </c>
    </row>
    <row r="437" customFormat="false" ht="35.05" hidden="false" customHeight="false" outlineLevel="0" collapsed="false">
      <c r="A437" s="10" t="n">
        <v>436</v>
      </c>
      <c r="B437" s="10" t="s">
        <v>90</v>
      </c>
      <c r="C437" s="21" t="n">
        <v>46356</v>
      </c>
      <c r="D437" s="10" t="s">
        <v>667</v>
      </c>
      <c r="E437" s="10" t="s">
        <v>112</v>
      </c>
      <c r="F437" s="10" t="s">
        <v>1078</v>
      </c>
      <c r="G437" s="10" t="s">
        <v>192</v>
      </c>
      <c r="H437" s="10" t="s">
        <v>1008</v>
      </c>
      <c r="I437" s="9" t="n">
        <v>15000</v>
      </c>
      <c r="J437" s="9"/>
      <c r="K437" s="10" t="s">
        <v>95</v>
      </c>
      <c r="L437" s="10" t="s">
        <v>104</v>
      </c>
      <c r="M437" s="16" t="str">
        <f aca="false">IFERROR(VLOOKUP(N437,Словарь!$A$2:$B$15,2,FALSE()),"Нужно решение")</f>
        <v>Не начато</v>
      </c>
      <c r="N437" s="10" t="s">
        <v>10</v>
      </c>
      <c r="O437" s="10"/>
      <c r="P437" s="22" t="str">
        <f aca="true">IF(AND(OR(M437="Не начато",M437="В работе",M437="Нужно решение"),C437&lt;TODAY()),TODAY()-C437,"")</f>
        <v/>
      </c>
      <c r="Q437" s="10" t="s">
        <v>238</v>
      </c>
      <c r="R437" s="10" t="s">
        <v>1079</v>
      </c>
      <c r="S437" s="10"/>
      <c r="T437" s="10"/>
      <c r="U437" s="10" t="n">
        <v>458</v>
      </c>
    </row>
    <row r="438" customFormat="false" ht="35.05" hidden="false" customHeight="false" outlineLevel="0" collapsed="false">
      <c r="A438" s="10" t="n">
        <v>437</v>
      </c>
      <c r="B438" s="10" t="s">
        <v>90</v>
      </c>
      <c r="C438" s="21" t="n">
        <v>46356</v>
      </c>
      <c r="D438" s="10" t="s">
        <v>675</v>
      </c>
      <c r="E438" s="10" t="s">
        <v>113</v>
      </c>
      <c r="F438" s="10" t="s">
        <v>567</v>
      </c>
      <c r="G438" s="10" t="s">
        <v>174</v>
      </c>
      <c r="H438" s="10" t="s">
        <v>1080</v>
      </c>
      <c r="I438" s="9" t="n">
        <v>159291.13</v>
      </c>
      <c r="J438" s="9"/>
      <c r="K438" s="10" t="s">
        <v>97</v>
      </c>
      <c r="L438" s="10" t="s">
        <v>109</v>
      </c>
      <c r="M438" s="16" t="str">
        <f aca="false">IFERROR(VLOOKUP(N438,Словарь!$A$2:$B$15,2,FALSE()),"Нужно решение")</f>
        <v>Не начато</v>
      </c>
      <c r="N438" s="10" t="s">
        <v>10</v>
      </c>
      <c r="O438" s="10"/>
      <c r="P438" s="22" t="str">
        <f aca="true">IF(AND(OR(M438="Не начато",M438="В работе",M438="Нужно решение"),C438&lt;TODAY()),TODAY()-C438,"")</f>
        <v/>
      </c>
      <c r="Q438" s="10" t="s">
        <v>238</v>
      </c>
      <c r="R438" s="10" t="s">
        <v>1073</v>
      </c>
      <c r="S438" s="10"/>
      <c r="T438" s="10"/>
      <c r="U438" s="10" t="n">
        <v>459</v>
      </c>
    </row>
    <row r="439" customFormat="false" ht="35.05" hidden="false" customHeight="false" outlineLevel="0" collapsed="false">
      <c r="A439" s="10" t="n">
        <v>438</v>
      </c>
      <c r="B439" s="10" t="s">
        <v>90</v>
      </c>
      <c r="C439" s="21" t="n">
        <v>46356</v>
      </c>
      <c r="D439" s="10" t="s">
        <v>678</v>
      </c>
      <c r="E439" s="10" t="s">
        <v>112</v>
      </c>
      <c r="F439" s="10" t="s">
        <v>521</v>
      </c>
      <c r="G439" s="10" t="s">
        <v>169</v>
      </c>
      <c r="H439" s="10" t="s">
        <v>1081</v>
      </c>
      <c r="I439" s="9" t="n">
        <v>10000</v>
      </c>
      <c r="J439" s="9"/>
      <c r="K439" s="10" t="s">
        <v>96</v>
      </c>
      <c r="L439" s="10" t="s">
        <v>104</v>
      </c>
      <c r="M439" s="16" t="str">
        <f aca="false">IFERROR(VLOOKUP(N439,Словарь!$A$2:$B$15,2,FALSE()),"Нужно решение")</f>
        <v>Отложено на зиму</v>
      </c>
      <c r="N439" s="10" t="s">
        <v>22</v>
      </c>
      <c r="O439" s="10"/>
      <c r="P439" s="22" t="str">
        <f aca="true">IF(AND(OR(M439="Не начато",M439="В работе",M439="Нужно решение"),C439&lt;TODAY()),TODAY()-C439,"")</f>
        <v/>
      </c>
      <c r="Q439" s="10" t="s">
        <v>238</v>
      </c>
      <c r="R439" s="10" t="s">
        <v>1054</v>
      </c>
      <c r="S439" s="10"/>
      <c r="T439" s="10" t="s">
        <v>1082</v>
      </c>
      <c r="U439" s="10" t="n">
        <v>460</v>
      </c>
    </row>
    <row r="440" customFormat="false" ht="35.05" hidden="false" customHeight="false" outlineLevel="0" collapsed="false">
      <c r="A440" s="10" t="n">
        <v>439</v>
      </c>
      <c r="B440" s="10" t="s">
        <v>90</v>
      </c>
      <c r="C440" s="21" t="n">
        <v>46356</v>
      </c>
      <c r="D440" s="10" t="s">
        <v>386</v>
      </c>
      <c r="E440" s="10" t="s">
        <v>112</v>
      </c>
      <c r="F440" s="10" t="s">
        <v>1083</v>
      </c>
      <c r="G440" s="10" t="s">
        <v>169</v>
      </c>
      <c r="H440" s="10" t="s">
        <v>1084</v>
      </c>
      <c r="I440" s="9" t="n">
        <v>60000</v>
      </c>
      <c r="J440" s="9"/>
      <c r="K440" s="10" t="s">
        <v>96</v>
      </c>
      <c r="L440" s="10" t="s">
        <v>108</v>
      </c>
      <c r="M440" s="16" t="str">
        <f aca="false">IFERROR(VLOOKUP(N440,Словарь!$A$2:$B$15,2,FALSE()),"Нужно решение")</f>
        <v>Не начато</v>
      </c>
      <c r="N440" s="10" t="s">
        <v>10</v>
      </c>
      <c r="O440" s="10"/>
      <c r="P440" s="22" t="str">
        <f aca="true">IF(AND(OR(M440="Не начато",M440="В работе",M440="Нужно решение"),C440&lt;TODAY()),TODAY()-C440,"")</f>
        <v/>
      </c>
      <c r="Q440" s="10" t="s">
        <v>238</v>
      </c>
      <c r="R440" s="10" t="s">
        <v>1054</v>
      </c>
      <c r="S440" s="10"/>
      <c r="T440" s="10"/>
      <c r="U440" s="10" t="n">
        <v>461</v>
      </c>
    </row>
    <row r="441" customFormat="false" ht="23.85" hidden="false" customHeight="false" outlineLevel="0" collapsed="false">
      <c r="A441" s="10" t="n">
        <v>440</v>
      </c>
      <c r="B441" s="10" t="s">
        <v>90</v>
      </c>
      <c r="C441" s="21" t="n">
        <v>46356</v>
      </c>
      <c r="D441" s="10" t="s">
        <v>240</v>
      </c>
      <c r="E441" s="10" t="s">
        <v>112</v>
      </c>
      <c r="F441" s="10" t="s">
        <v>1085</v>
      </c>
      <c r="G441" s="10" t="s">
        <v>174</v>
      </c>
      <c r="H441" s="10" t="s">
        <v>1086</v>
      </c>
      <c r="I441" s="9"/>
      <c r="J441" s="9"/>
      <c r="K441" s="10" t="s">
        <v>96</v>
      </c>
      <c r="L441" s="10" t="s">
        <v>103</v>
      </c>
      <c r="M441" s="16" t="str">
        <f aca="false">IFERROR(VLOOKUP(N441,Словарь!$A$2:$B$15,2,FALSE()),"Нужно решение")</f>
        <v>В работе</v>
      </c>
      <c r="N441" s="10" t="s">
        <v>13</v>
      </c>
      <c r="O441" s="10"/>
      <c r="P441" s="22" t="str">
        <f aca="true">IF(AND(OR(M441="Не начато",M441="В работе",M441="Нужно решение"),C441&lt;TODAY()),TODAY()-C441,"")</f>
        <v/>
      </c>
      <c r="Q441" s="10" t="s">
        <v>238</v>
      </c>
      <c r="R441" s="10" t="s">
        <v>1087</v>
      </c>
      <c r="S441" s="10"/>
      <c r="T441" s="10" t="s">
        <v>569</v>
      </c>
      <c r="U441" s="10" t="n">
        <v>462</v>
      </c>
    </row>
    <row r="442" customFormat="false" ht="23.85" hidden="false" customHeight="false" outlineLevel="0" collapsed="false">
      <c r="A442" s="10" t="n">
        <v>441</v>
      </c>
      <c r="B442" s="10" t="s">
        <v>90</v>
      </c>
      <c r="C442" s="21" t="n">
        <v>46356</v>
      </c>
      <c r="D442" s="10" t="s">
        <v>760</v>
      </c>
      <c r="E442" s="10" t="s">
        <v>112</v>
      </c>
      <c r="F442" s="10" t="s">
        <v>1088</v>
      </c>
      <c r="G442" s="10" t="s">
        <v>192</v>
      </c>
      <c r="H442" s="10" t="s">
        <v>1089</v>
      </c>
      <c r="I442" s="9"/>
      <c r="J442" s="9"/>
      <c r="K442" s="10" t="s">
        <v>95</v>
      </c>
      <c r="L442" s="10" t="s">
        <v>107</v>
      </c>
      <c r="M442" s="16" t="str">
        <f aca="false">IFERROR(VLOOKUP(N442,Словарь!$A$2:$B$15,2,FALSE()),"Нужно решение")</f>
        <v>Не начато</v>
      </c>
      <c r="N442" s="10" t="s">
        <v>10</v>
      </c>
      <c r="O442" s="10"/>
      <c r="P442" s="22" t="str">
        <f aca="true">IF(AND(OR(M442="Не начато",M442="В работе",M442="Нужно решение"),C442&lt;TODAY()),TODAY()-C442,"")</f>
        <v/>
      </c>
      <c r="Q442" s="10" t="s">
        <v>238</v>
      </c>
      <c r="R442" s="10" t="s">
        <v>1087</v>
      </c>
      <c r="S442" s="10"/>
      <c r="T442" s="10"/>
      <c r="U442" s="10" t="n">
        <v>463</v>
      </c>
    </row>
    <row r="443" customFormat="false" ht="35.05" hidden="false" customHeight="false" outlineLevel="0" collapsed="false">
      <c r="A443" s="10" t="n">
        <v>442</v>
      </c>
      <c r="B443" s="10" t="s">
        <v>90</v>
      </c>
      <c r="C443" s="21" t="n">
        <v>46356</v>
      </c>
      <c r="D443" s="10" t="s">
        <v>1090</v>
      </c>
      <c r="E443" s="10" t="s">
        <v>113</v>
      </c>
      <c r="F443" s="10" t="s">
        <v>1091</v>
      </c>
      <c r="G443" s="10" t="s">
        <v>174</v>
      </c>
      <c r="H443" s="10" t="s">
        <v>1092</v>
      </c>
      <c r="I443" s="9" t="n">
        <v>90000</v>
      </c>
      <c r="J443" s="9"/>
      <c r="K443" s="10" t="s">
        <v>97</v>
      </c>
      <c r="L443" s="10" t="s">
        <v>109</v>
      </c>
      <c r="M443" s="16" t="str">
        <f aca="false">IFERROR(VLOOKUP(N443,Словарь!$A$2:$B$15,2,FALSE()),"Нужно решение")</f>
        <v>Не начато</v>
      </c>
      <c r="N443" s="10" t="s">
        <v>10</v>
      </c>
      <c r="O443" s="10"/>
      <c r="P443" s="22" t="str">
        <f aca="true">IF(AND(OR(M443="Не начато",M443="В работе",M443="Нужно решение"),C443&lt;TODAY()),TODAY()-C443,"")</f>
        <v/>
      </c>
      <c r="Q443" s="10" t="s">
        <v>238</v>
      </c>
      <c r="R443" s="10" t="s">
        <v>1079</v>
      </c>
      <c r="S443" s="10"/>
      <c r="T443" s="10"/>
      <c r="U443" s="10" t="n">
        <v>464</v>
      </c>
    </row>
    <row r="444" customFormat="false" ht="23.85" hidden="false" customHeight="false" outlineLevel="0" collapsed="false">
      <c r="A444" s="10" t="n">
        <v>443</v>
      </c>
      <c r="B444" s="10" t="s">
        <v>90</v>
      </c>
      <c r="C444" s="21" t="n">
        <v>46356</v>
      </c>
      <c r="D444" s="10" t="s">
        <v>160</v>
      </c>
      <c r="E444" s="10" t="s">
        <v>113</v>
      </c>
      <c r="F444" s="10" t="s">
        <v>1091</v>
      </c>
      <c r="G444" s="10" t="s">
        <v>174</v>
      </c>
      <c r="H444" s="10" t="s">
        <v>1093</v>
      </c>
      <c r="I444" s="9" t="n">
        <v>90000</v>
      </c>
      <c r="J444" s="9"/>
      <c r="K444" s="10" t="s">
        <v>96</v>
      </c>
      <c r="L444" s="10" t="s">
        <v>101</v>
      </c>
      <c r="M444" s="16" t="str">
        <f aca="false">IFERROR(VLOOKUP(N444,Словарь!$A$2:$B$15,2,FALSE()),"Нужно решение")</f>
        <v>Снято с плана</v>
      </c>
      <c r="N444" s="10" t="s">
        <v>164</v>
      </c>
      <c r="O444" s="10"/>
      <c r="P444" s="22" t="str">
        <f aca="true">IF(AND(OR(M444="Не начато",M444="В работе",M444="Нужно решение"),C444&lt;TODAY()),TODAY()-C444,"")</f>
        <v/>
      </c>
      <c r="Q444" s="10"/>
      <c r="R444" s="10"/>
      <c r="S444" s="10"/>
      <c r="T444" s="10" t="s">
        <v>1094</v>
      </c>
      <c r="U444" s="10"/>
    </row>
    <row r="445" customFormat="false" ht="35.05" hidden="false" customHeight="false" outlineLevel="0" collapsed="false">
      <c r="A445" s="10" t="n">
        <v>444</v>
      </c>
      <c r="B445" s="10" t="s">
        <v>90</v>
      </c>
      <c r="C445" s="21" t="n">
        <v>46356</v>
      </c>
      <c r="D445" s="10" t="s">
        <v>841</v>
      </c>
      <c r="E445" s="10" t="s">
        <v>112</v>
      </c>
      <c r="F445" s="10" t="s">
        <v>1095</v>
      </c>
      <c r="G445" s="10" t="s">
        <v>148</v>
      </c>
      <c r="H445" s="10" t="s">
        <v>1096</v>
      </c>
      <c r="I445" s="9" t="n">
        <v>1000</v>
      </c>
      <c r="J445" s="9"/>
      <c r="K445" s="10" t="s">
        <v>96</v>
      </c>
      <c r="L445" s="10" t="s">
        <v>102</v>
      </c>
      <c r="M445" s="16" t="str">
        <f aca="false">IFERROR(VLOOKUP(N445,Словарь!$A$2:$B$15,2,FALSE()),"Нужно решение")</f>
        <v>Не начато</v>
      </c>
      <c r="N445" s="10" t="s">
        <v>10</v>
      </c>
      <c r="O445" s="10"/>
      <c r="P445" s="22" t="str">
        <f aca="true">IF(AND(OR(M445="Не начато",M445="В работе",M445="Нужно решение"),C445&lt;TODAY()),TODAY()-C445,"")</f>
        <v/>
      </c>
      <c r="Q445" s="10" t="s">
        <v>238</v>
      </c>
      <c r="R445" s="10" t="s">
        <v>1064</v>
      </c>
      <c r="S445" s="10"/>
      <c r="T445" s="10"/>
      <c r="U445" s="10" t="n">
        <v>465</v>
      </c>
    </row>
    <row r="446" customFormat="false" ht="35.05" hidden="false" customHeight="false" outlineLevel="0" collapsed="false">
      <c r="A446" s="10" t="n">
        <v>445</v>
      </c>
      <c r="B446" s="10" t="s">
        <v>90</v>
      </c>
      <c r="C446" s="21" t="n">
        <v>46356</v>
      </c>
      <c r="D446" s="10" t="s">
        <v>417</v>
      </c>
      <c r="E446" s="10" t="s">
        <v>113</v>
      </c>
      <c r="F446" s="10" t="s">
        <v>1097</v>
      </c>
      <c r="G446" s="10" t="s">
        <v>142</v>
      </c>
      <c r="H446" s="10" t="s">
        <v>1098</v>
      </c>
      <c r="I446" s="9" t="n">
        <v>50000</v>
      </c>
      <c r="J446" s="9"/>
      <c r="K446" s="10" t="s">
        <v>97</v>
      </c>
      <c r="L446" s="10" t="s">
        <v>109</v>
      </c>
      <c r="M446" s="16" t="str">
        <f aca="false">IFERROR(VLOOKUP(N446,Словарь!$A$2:$B$15,2,FALSE()),"Нужно решение")</f>
        <v>Не начато</v>
      </c>
      <c r="N446" s="10" t="s">
        <v>10</v>
      </c>
      <c r="O446" s="10"/>
      <c r="P446" s="22" t="str">
        <f aca="true">IF(AND(OR(M446="Не начато",M446="В работе",M446="Нужно решение"),C446&lt;TODAY()),TODAY()-C446,"")</f>
        <v/>
      </c>
      <c r="Q446" s="10" t="s">
        <v>238</v>
      </c>
      <c r="R446" s="10" t="s">
        <v>920</v>
      </c>
      <c r="S446" s="10"/>
      <c r="T446" s="10"/>
      <c r="U446" s="10" t="n">
        <v>466</v>
      </c>
    </row>
    <row r="447" customFormat="false" ht="23.85" hidden="false" customHeight="false" outlineLevel="0" collapsed="false">
      <c r="A447" s="10" t="n">
        <v>446</v>
      </c>
      <c r="B447" s="10" t="s">
        <v>90</v>
      </c>
      <c r="C447" s="21" t="n">
        <v>46356</v>
      </c>
      <c r="D447" s="10" t="s">
        <v>417</v>
      </c>
      <c r="E447" s="10" t="s">
        <v>113</v>
      </c>
      <c r="F447" s="10" t="s">
        <v>1099</v>
      </c>
      <c r="G447" s="10" t="s">
        <v>245</v>
      </c>
      <c r="H447" s="10" t="s">
        <v>1100</v>
      </c>
      <c r="I447" s="9" t="n">
        <v>160000</v>
      </c>
      <c r="J447" s="9"/>
      <c r="K447" s="10" t="s">
        <v>97</v>
      </c>
      <c r="L447" s="10" t="s">
        <v>101</v>
      </c>
      <c r="M447" s="16" t="str">
        <f aca="false">IFERROR(VLOOKUP(N447,Словарь!$A$2:$B$15,2,FALSE()),"Нужно решение")</f>
        <v>Не начато</v>
      </c>
      <c r="N447" s="10" t="s">
        <v>10</v>
      </c>
      <c r="O447" s="10"/>
      <c r="P447" s="22" t="str">
        <f aca="true">IF(AND(OR(M447="Не начато",M447="В работе",M447="Нужно решение"),C447&lt;TODAY()),TODAY()-C447,"")</f>
        <v/>
      </c>
      <c r="Q447" s="10" t="s">
        <v>238</v>
      </c>
      <c r="R447" s="10" t="s">
        <v>487</v>
      </c>
      <c r="S447" s="10"/>
      <c r="T447" s="10"/>
      <c r="U447" s="10" t="n">
        <v>467</v>
      </c>
    </row>
    <row r="448" customFormat="false" ht="35.05" hidden="false" customHeight="false" outlineLevel="0" collapsed="false">
      <c r="A448" s="10" t="n">
        <v>447</v>
      </c>
      <c r="B448" s="10" t="s">
        <v>91</v>
      </c>
      <c r="C448" s="21" t="n">
        <v>46387</v>
      </c>
      <c r="D448" s="10" t="s">
        <v>501</v>
      </c>
      <c r="E448" s="10" t="s">
        <v>112</v>
      </c>
      <c r="F448" s="10" t="s">
        <v>1101</v>
      </c>
      <c r="G448" s="10" t="s">
        <v>148</v>
      </c>
      <c r="H448" s="10" t="s">
        <v>1102</v>
      </c>
      <c r="I448" s="9" t="n">
        <v>250000</v>
      </c>
      <c r="J448" s="9"/>
      <c r="K448" s="10" t="s">
        <v>96</v>
      </c>
      <c r="L448" s="10" t="s">
        <v>106</v>
      </c>
      <c r="M448" s="16" t="str">
        <f aca="false">IFERROR(VLOOKUP(N448,Словарь!$A$2:$B$15,2,FALSE()),"Нужно решение")</f>
        <v>В работе</v>
      </c>
      <c r="N448" s="10" t="s">
        <v>13</v>
      </c>
      <c r="O448" s="10"/>
      <c r="P448" s="22" t="str">
        <f aca="true">IF(AND(OR(M448="Не начато",M448="В работе",M448="Нужно решение"),C448&lt;TODAY()),TODAY()-C448,"")</f>
        <v/>
      </c>
      <c r="Q448" s="10" t="s">
        <v>238</v>
      </c>
      <c r="R448" s="10" t="s">
        <v>1103</v>
      </c>
      <c r="S448" s="10"/>
      <c r="T448" s="10" t="s">
        <v>1044</v>
      </c>
      <c r="U448" s="10" t="n">
        <v>470</v>
      </c>
    </row>
    <row r="449" customFormat="false" ht="23.85" hidden="false" customHeight="false" outlineLevel="0" collapsed="false">
      <c r="A449" s="10" t="n">
        <v>448</v>
      </c>
      <c r="B449" s="10" t="s">
        <v>91</v>
      </c>
      <c r="C449" s="21" t="n">
        <v>46387</v>
      </c>
      <c r="D449" s="10" t="s">
        <v>311</v>
      </c>
      <c r="E449" s="10" t="s">
        <v>112</v>
      </c>
      <c r="F449" s="10" t="s">
        <v>1104</v>
      </c>
      <c r="G449" s="10" t="s">
        <v>192</v>
      </c>
      <c r="H449" s="10" t="s">
        <v>1105</v>
      </c>
      <c r="I449" s="9" t="n">
        <v>2500</v>
      </c>
      <c r="J449" s="9"/>
      <c r="K449" s="10" t="s">
        <v>95</v>
      </c>
      <c r="L449" s="10" t="s">
        <v>100</v>
      </c>
      <c r="M449" s="16" t="str">
        <f aca="false">IFERROR(VLOOKUP(N449,Словарь!$A$2:$B$15,2,FALSE()),"Нужно решение")</f>
        <v>Не начато</v>
      </c>
      <c r="N449" s="10" t="s">
        <v>10</v>
      </c>
      <c r="O449" s="10"/>
      <c r="P449" s="22" t="str">
        <f aca="true">IF(AND(OR(M449="Не начато",M449="В работе",M449="Нужно решение"),C449&lt;TODAY()),TODAY()-C449,"")</f>
        <v/>
      </c>
      <c r="Q449" s="10" t="s">
        <v>238</v>
      </c>
      <c r="R449" s="10" t="s">
        <v>1106</v>
      </c>
      <c r="S449" s="10"/>
      <c r="T449" s="10"/>
      <c r="U449" s="10" t="n">
        <v>471</v>
      </c>
    </row>
    <row r="450" customFormat="false" ht="23.85" hidden="false" customHeight="false" outlineLevel="0" collapsed="false">
      <c r="A450" s="10" t="n">
        <v>449</v>
      </c>
      <c r="B450" s="10" t="s">
        <v>91</v>
      </c>
      <c r="C450" s="21" t="n">
        <v>46387</v>
      </c>
      <c r="D450" s="10" t="s">
        <v>1107</v>
      </c>
      <c r="E450" s="10" t="s">
        <v>113</v>
      </c>
      <c r="F450" s="10" t="s">
        <v>1108</v>
      </c>
      <c r="G450" s="10" t="s">
        <v>192</v>
      </c>
      <c r="H450" s="10"/>
      <c r="I450" s="9" t="n">
        <v>2500</v>
      </c>
      <c r="J450" s="9"/>
      <c r="K450" s="10" t="s">
        <v>95</v>
      </c>
      <c r="L450" s="10" t="s">
        <v>102</v>
      </c>
      <c r="M450" s="16" t="str">
        <f aca="false">IFERROR(VLOOKUP(N450,Словарь!$A$2:$B$15,2,FALSE()),"Нужно решение")</f>
        <v>Не начато</v>
      </c>
      <c r="N450" s="10" t="s">
        <v>10</v>
      </c>
      <c r="O450" s="10"/>
      <c r="P450" s="22" t="str">
        <f aca="true">IF(AND(OR(M450="Не начато",M450="В работе",M450="Нужно решение"),C450&lt;TODAY()),TODAY()-C450,"")</f>
        <v/>
      </c>
      <c r="Q450" s="10" t="s">
        <v>238</v>
      </c>
      <c r="R450" s="10" t="s">
        <v>1106</v>
      </c>
      <c r="S450" s="10"/>
      <c r="T450" s="10"/>
      <c r="U450" s="10" t="n">
        <v>472</v>
      </c>
    </row>
  </sheetData>
  <autoFilter ref="A1:U450"/>
  <conditionalFormatting sqref="A2:U450">
    <cfRule type="expression" priority="2" aboveAverage="0" equalAverage="0" bottom="0" percent="0" rank="0" text="" dxfId="17">
      <formula>$M2="В работе"</formula>
    </cfRule>
    <cfRule type="expression" priority="3" aboveAverage="0" equalAverage="0" bottom="0" percent="0" rank="0" text="" dxfId="18">
      <formula>$M2="Выполнено, ждёт акта"</formula>
    </cfRule>
    <cfRule type="expression" priority="4" aboveAverage="0" equalAverage="0" bottom="0" percent="0" rank="0" text="" dxfId="19">
      <formula>$M2="Принято с актом"</formula>
    </cfRule>
    <cfRule type="expression" priority="5" aboveAverage="0" equalAverage="0" bottom="0" percent="0" rank="0" text="" dxfId="20">
      <formula>$M2="Отложено на зиму"</formula>
    </cfRule>
    <cfRule type="expression" priority="6" aboveAverage="0" equalAverage="0" bottom="0" percent="0" rank="0" text="" dxfId="21">
      <formula>$M2="Нужно решение"</formula>
    </cfRule>
    <cfRule type="expression" priority="7" aboveAverage="0" equalAverage="0" bottom="0" percent="0" rank="0" text="" dxfId="22">
      <formula>$M2="Снято с плана"</formula>
    </cfRule>
  </conditionalFormatting>
  <conditionalFormatting sqref="P2:P450">
    <cfRule type="expression" priority="8" aboveAverage="0" equalAverage="0" bottom="0" percent="0" rank="0" text="" dxfId="0">
      <formula>AND(ISNUMBER($P2),$P2&gt;0)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4" style="0" width="20"/>
    <col collapsed="false" customWidth="true" hidden="false" outlineLevel="0" max="6" min="6" style="0" width="60"/>
    <col collapsed="false" customWidth="true" hidden="false" outlineLevel="0" max="7" min="7" style="0" width="30"/>
  </cols>
  <sheetData>
    <row r="1" customFormat="false" ht="30" hidden="false" customHeight="true" outlineLevel="0" collapsed="false">
      <c r="A1" s="5" t="s">
        <v>121</v>
      </c>
      <c r="B1" s="5" t="s">
        <v>122</v>
      </c>
      <c r="C1" s="5" t="s">
        <v>1109</v>
      </c>
      <c r="D1" s="5" t="s">
        <v>1110</v>
      </c>
      <c r="E1" s="5" t="s">
        <v>1111</v>
      </c>
      <c r="F1" s="5" t="s">
        <v>1112</v>
      </c>
      <c r="G1" s="5" t="s">
        <v>1113</v>
      </c>
    </row>
    <row r="2" customFormat="false" ht="23.85" hidden="false" customHeight="false" outlineLevel="0" collapsed="false">
      <c r="A2" s="10" t="s">
        <v>167</v>
      </c>
      <c r="B2" s="10" t="s">
        <v>395</v>
      </c>
      <c r="C2" s="10" t="s">
        <v>1114</v>
      </c>
      <c r="D2" s="10" t="s">
        <v>150</v>
      </c>
      <c r="E2" s="10"/>
      <c r="F2" s="10" t="s">
        <v>397</v>
      </c>
      <c r="G2" s="23"/>
    </row>
    <row r="3" customFormat="false" ht="15" hidden="false" customHeight="false" outlineLevel="0" collapsed="false">
      <c r="A3" s="10" t="s">
        <v>399</v>
      </c>
      <c r="B3" s="10" t="s">
        <v>400</v>
      </c>
      <c r="C3" s="10" t="s">
        <v>1114</v>
      </c>
      <c r="D3" s="10" t="s">
        <v>138</v>
      </c>
      <c r="E3" s="10"/>
      <c r="F3" s="10" t="s">
        <v>402</v>
      </c>
      <c r="G3" s="23"/>
    </row>
    <row r="4" customFormat="false" ht="23.85" hidden="false" customHeight="false" outlineLevel="0" collapsed="false">
      <c r="A4" s="10" t="s">
        <v>407</v>
      </c>
      <c r="B4" s="10" t="s">
        <v>408</v>
      </c>
      <c r="C4" s="10" t="s">
        <v>1114</v>
      </c>
      <c r="D4" s="10" t="s">
        <v>150</v>
      </c>
      <c r="E4" s="10" t="s">
        <v>101</v>
      </c>
      <c r="F4" s="10" t="s">
        <v>397</v>
      </c>
      <c r="G4" s="23"/>
    </row>
    <row r="5" customFormat="false" ht="15" hidden="false" customHeight="false" outlineLevel="0" collapsed="false">
      <c r="A5" s="10" t="s">
        <v>420</v>
      </c>
      <c r="B5" s="10" t="s">
        <v>421</v>
      </c>
      <c r="C5" s="10" t="s">
        <v>1115</v>
      </c>
      <c r="D5" s="10" t="s">
        <v>138</v>
      </c>
      <c r="E5" s="10"/>
      <c r="F5" s="10" t="s">
        <v>423</v>
      </c>
      <c r="G5" s="23"/>
    </row>
    <row r="6" customFormat="false" ht="23.85" hidden="false" customHeight="false" outlineLevel="0" collapsed="false">
      <c r="A6" s="10" t="s">
        <v>274</v>
      </c>
      <c r="B6" s="10" t="s">
        <v>433</v>
      </c>
      <c r="C6" s="10" t="s">
        <v>1115</v>
      </c>
      <c r="D6" s="10" t="s">
        <v>138</v>
      </c>
      <c r="E6" s="10"/>
      <c r="F6" s="10" t="s">
        <v>436</v>
      </c>
      <c r="G6" s="23"/>
    </row>
    <row r="7" customFormat="false" ht="23.85" hidden="false" customHeight="false" outlineLevel="0" collapsed="false">
      <c r="A7" s="10" t="s">
        <v>134</v>
      </c>
      <c r="B7" s="10" t="s">
        <v>533</v>
      </c>
      <c r="C7" s="10" t="s">
        <v>1116</v>
      </c>
      <c r="D7" s="10" t="s">
        <v>150</v>
      </c>
      <c r="E7" s="10" t="s">
        <v>102</v>
      </c>
      <c r="F7" s="10" t="s">
        <v>534</v>
      </c>
      <c r="G7" s="23"/>
    </row>
    <row r="8" customFormat="false" ht="23.85" hidden="false" customHeight="false" outlineLevel="0" collapsed="false">
      <c r="A8" s="10" t="s">
        <v>427</v>
      </c>
      <c r="B8" s="10" t="s">
        <v>539</v>
      </c>
      <c r="C8" s="10" t="s">
        <v>1116</v>
      </c>
      <c r="D8" s="10" t="s">
        <v>541</v>
      </c>
      <c r="E8" s="10" t="s">
        <v>105</v>
      </c>
      <c r="F8" s="10" t="s">
        <v>542</v>
      </c>
      <c r="G8" s="23"/>
    </row>
    <row r="9" customFormat="false" ht="23.85" hidden="false" customHeight="false" outlineLevel="0" collapsed="false">
      <c r="A9" s="10" t="s">
        <v>557</v>
      </c>
      <c r="B9" s="10" t="s">
        <v>558</v>
      </c>
      <c r="C9" s="10" t="s">
        <v>1116</v>
      </c>
      <c r="D9" s="10" t="s">
        <v>541</v>
      </c>
      <c r="E9" s="10" t="s">
        <v>101</v>
      </c>
      <c r="F9" s="10" t="s">
        <v>560</v>
      </c>
      <c r="G9" s="23"/>
    </row>
    <row r="10" customFormat="false" ht="23.85" hidden="false" customHeight="false" outlineLevel="0" collapsed="false">
      <c r="A10" s="10" t="s">
        <v>279</v>
      </c>
      <c r="B10" s="10" t="s">
        <v>587</v>
      </c>
      <c r="C10" s="10" t="s">
        <v>1116</v>
      </c>
      <c r="D10" s="10" t="s">
        <v>164</v>
      </c>
      <c r="E10" s="10"/>
      <c r="F10" s="10" t="s">
        <v>589</v>
      </c>
      <c r="G10" s="23"/>
    </row>
    <row r="11" customFormat="false" ht="15" hidden="false" customHeight="false" outlineLevel="0" collapsed="false">
      <c r="A11" s="10" t="s">
        <v>279</v>
      </c>
      <c r="B11" s="10" t="s">
        <v>591</v>
      </c>
      <c r="C11" s="10" t="s">
        <v>1116</v>
      </c>
      <c r="D11" s="10" t="s">
        <v>10</v>
      </c>
      <c r="E11" s="10"/>
      <c r="F11" s="10" t="s">
        <v>589</v>
      </c>
      <c r="G11" s="23"/>
    </row>
    <row r="12" customFormat="false" ht="23.85" hidden="false" customHeight="false" outlineLevel="0" collapsed="false">
      <c r="A12" s="10" t="s">
        <v>282</v>
      </c>
      <c r="B12" s="10" t="s">
        <v>606</v>
      </c>
      <c r="C12" s="10" t="s">
        <v>1116</v>
      </c>
      <c r="D12" s="10" t="s">
        <v>541</v>
      </c>
      <c r="E12" s="10" t="s">
        <v>105</v>
      </c>
      <c r="F12" s="10" t="s">
        <v>542</v>
      </c>
      <c r="G12" s="23"/>
    </row>
    <row r="13" customFormat="false" ht="23.85" hidden="false" customHeight="false" outlineLevel="0" collapsed="false">
      <c r="A13" s="10" t="s">
        <v>705</v>
      </c>
      <c r="B13" s="10" t="s">
        <v>706</v>
      </c>
      <c r="C13" s="10" t="s">
        <v>1116</v>
      </c>
      <c r="D13" s="10" t="s">
        <v>505</v>
      </c>
      <c r="E13" s="10" t="s">
        <v>101</v>
      </c>
      <c r="F13" s="10" t="s">
        <v>560</v>
      </c>
      <c r="G13" s="23"/>
    </row>
    <row r="14" customFormat="false" ht="23.85" hidden="false" customHeight="false" outlineLevel="0" collapsed="false">
      <c r="A14" s="10" t="s">
        <v>709</v>
      </c>
      <c r="B14" s="10" t="s">
        <v>710</v>
      </c>
      <c r="C14" s="10" t="s">
        <v>1116</v>
      </c>
      <c r="D14" s="10" t="s">
        <v>541</v>
      </c>
      <c r="E14" s="10" t="s">
        <v>101</v>
      </c>
      <c r="F14" s="10" t="s">
        <v>560</v>
      </c>
      <c r="G14" s="23"/>
    </row>
    <row r="15" customFormat="false" ht="23.85" hidden="false" customHeight="false" outlineLevel="0" collapsed="false">
      <c r="A15" s="10" t="s">
        <v>386</v>
      </c>
      <c r="B15" s="10" t="s">
        <v>731</v>
      </c>
      <c r="C15" s="10" t="s">
        <v>1116</v>
      </c>
      <c r="D15" s="10" t="s">
        <v>541</v>
      </c>
      <c r="E15" s="10" t="s">
        <v>108</v>
      </c>
      <c r="F15" s="10" t="s">
        <v>733</v>
      </c>
      <c r="G15" s="23"/>
    </row>
    <row r="16" customFormat="false" ht="23.85" hidden="false" customHeight="false" outlineLevel="0" collapsed="false">
      <c r="A16" s="10" t="s">
        <v>235</v>
      </c>
      <c r="B16" s="10" t="s">
        <v>728</v>
      </c>
      <c r="C16" s="10" t="s">
        <v>1116</v>
      </c>
      <c r="D16" s="10" t="s">
        <v>150</v>
      </c>
      <c r="E16" s="10" t="s">
        <v>101</v>
      </c>
      <c r="F16" s="10" t="s">
        <v>534</v>
      </c>
      <c r="G16" s="23"/>
    </row>
    <row r="17" customFormat="false" ht="15" hidden="false" customHeight="false" outlineLevel="0" collapsed="false">
      <c r="A17" s="10" t="s">
        <v>240</v>
      </c>
      <c r="B17" s="10" t="s">
        <v>743</v>
      </c>
      <c r="C17" s="10" t="s">
        <v>1116</v>
      </c>
      <c r="D17" s="10" t="s">
        <v>745</v>
      </c>
      <c r="E17" s="10" t="s">
        <v>103</v>
      </c>
      <c r="F17" s="10" t="s">
        <v>746</v>
      </c>
      <c r="G17" s="23"/>
    </row>
    <row r="18" customFormat="false" ht="15" hidden="false" customHeight="false" outlineLevel="0" collapsed="false">
      <c r="A18" s="10" t="s">
        <v>403</v>
      </c>
      <c r="B18" s="10" t="s">
        <v>845</v>
      </c>
      <c r="C18" s="10" t="s">
        <v>1116</v>
      </c>
      <c r="D18" s="10" t="s">
        <v>150</v>
      </c>
      <c r="E18" s="10" t="s">
        <v>102</v>
      </c>
      <c r="F18" s="10" t="s">
        <v>847</v>
      </c>
      <c r="G18" s="23"/>
    </row>
    <row r="19" customFormat="false" ht="23.85" hidden="false" customHeight="false" outlineLevel="0" collapsed="false">
      <c r="A19" s="10" t="s">
        <v>403</v>
      </c>
      <c r="B19" s="10" t="s">
        <v>848</v>
      </c>
      <c r="C19" s="10" t="s">
        <v>1116</v>
      </c>
      <c r="D19" s="10" t="s">
        <v>10</v>
      </c>
      <c r="E19" s="10"/>
      <c r="F19" s="10" t="s">
        <v>847</v>
      </c>
      <c r="G19" s="23"/>
    </row>
    <row r="20" customFormat="false" ht="23.85" hidden="false" customHeight="false" outlineLevel="0" collapsed="false">
      <c r="A20" s="10" t="s">
        <v>403</v>
      </c>
      <c r="B20" s="10" t="s">
        <v>849</v>
      </c>
      <c r="C20" s="10" t="s">
        <v>1116</v>
      </c>
      <c r="D20" s="10" t="s">
        <v>10</v>
      </c>
      <c r="E20" s="10"/>
      <c r="F20" s="10" t="s">
        <v>847</v>
      </c>
      <c r="G20" s="23"/>
    </row>
    <row r="21" customFormat="false" ht="23.85" hidden="false" customHeight="false" outlineLevel="0" collapsed="false">
      <c r="A21" s="10" t="s">
        <v>403</v>
      </c>
      <c r="B21" s="10" t="s">
        <v>850</v>
      </c>
      <c r="C21" s="10" t="s">
        <v>1116</v>
      </c>
      <c r="D21" s="10" t="s">
        <v>505</v>
      </c>
      <c r="E21" s="10" t="s">
        <v>102</v>
      </c>
      <c r="F21" s="10" t="s">
        <v>847</v>
      </c>
      <c r="G21" s="23"/>
    </row>
    <row r="22" customFormat="false" ht="23.85" hidden="false" customHeight="false" outlineLevel="0" collapsed="false">
      <c r="A22" s="10" t="s">
        <v>403</v>
      </c>
      <c r="B22" s="10" t="s">
        <v>852</v>
      </c>
      <c r="C22" s="10" t="s">
        <v>1116</v>
      </c>
      <c r="D22" s="10" t="s">
        <v>10</v>
      </c>
      <c r="E22" s="10"/>
      <c r="F22" s="10" t="s">
        <v>847</v>
      </c>
      <c r="G22" s="23"/>
    </row>
    <row r="23" customFormat="false" ht="35.05" hidden="false" customHeight="false" outlineLevel="0" collapsed="false">
      <c r="A23" s="10" t="s">
        <v>403</v>
      </c>
      <c r="B23" s="10" t="s">
        <v>853</v>
      </c>
      <c r="C23" s="10" t="s">
        <v>1116</v>
      </c>
      <c r="D23" s="10" t="s">
        <v>10</v>
      </c>
      <c r="E23" s="10"/>
      <c r="F23" s="10" t="s">
        <v>847</v>
      </c>
      <c r="G23" s="23"/>
    </row>
    <row r="24" customFormat="false" ht="15" hidden="false" customHeight="false" outlineLevel="0" collapsed="false">
      <c r="A24" s="10" t="s">
        <v>403</v>
      </c>
      <c r="B24" s="10" t="s">
        <v>854</v>
      </c>
      <c r="C24" s="10" t="s">
        <v>1116</v>
      </c>
      <c r="D24" s="10" t="s">
        <v>505</v>
      </c>
      <c r="E24" s="10" t="s">
        <v>102</v>
      </c>
      <c r="F24" s="10" t="s">
        <v>847</v>
      </c>
      <c r="G24" s="23"/>
    </row>
    <row r="25" customFormat="false" ht="23.85" hidden="false" customHeight="false" outlineLevel="0" collapsed="false">
      <c r="A25" s="10" t="s">
        <v>208</v>
      </c>
      <c r="B25" s="10" t="s">
        <v>866</v>
      </c>
      <c r="C25" s="10" t="s">
        <v>1116</v>
      </c>
      <c r="D25" s="10" t="s">
        <v>812</v>
      </c>
      <c r="E25" s="10"/>
      <c r="F25" s="10" t="s">
        <v>534</v>
      </c>
      <c r="G25" s="23"/>
    </row>
    <row r="26" customFormat="false" ht="23.85" hidden="false" customHeight="false" outlineLevel="0" collapsed="false">
      <c r="A26" s="10" t="s">
        <v>473</v>
      </c>
      <c r="B26" s="10" t="s">
        <v>895</v>
      </c>
      <c r="C26" s="10" t="s">
        <v>1116</v>
      </c>
      <c r="D26" s="10" t="s">
        <v>150</v>
      </c>
      <c r="E26" s="10" t="s">
        <v>108</v>
      </c>
      <c r="F26" s="10" t="s">
        <v>534</v>
      </c>
      <c r="G26" s="23"/>
    </row>
    <row r="27" customFormat="false" ht="23.85" hidden="false" customHeight="false" outlineLevel="0" collapsed="false">
      <c r="A27" s="10" t="s">
        <v>535</v>
      </c>
      <c r="B27" s="10" t="s">
        <v>946</v>
      </c>
      <c r="C27" s="10" t="s">
        <v>1117</v>
      </c>
      <c r="D27" s="10" t="s">
        <v>150</v>
      </c>
      <c r="E27" s="10" t="s">
        <v>105</v>
      </c>
      <c r="F27" s="10" t="s">
        <v>949</v>
      </c>
      <c r="G27" s="23"/>
    </row>
    <row r="28" customFormat="false" ht="23.85" hidden="false" customHeight="false" outlineLevel="0" collapsed="false">
      <c r="A28" s="10" t="s">
        <v>246</v>
      </c>
      <c r="B28" s="10" t="s">
        <v>1000</v>
      </c>
      <c r="C28" s="10" t="s">
        <v>1117</v>
      </c>
      <c r="D28" s="10" t="s">
        <v>150</v>
      </c>
      <c r="E28" s="10" t="s">
        <v>105</v>
      </c>
      <c r="F28" s="10" t="s">
        <v>1002</v>
      </c>
      <c r="G28" s="23"/>
    </row>
    <row r="29" customFormat="false" ht="15" hidden="false" customHeight="false" outlineLevel="0" collapsed="false">
      <c r="A29" s="10" t="s">
        <v>757</v>
      </c>
      <c r="B29" s="10" t="s">
        <v>1003</v>
      </c>
      <c r="C29" s="10" t="s">
        <v>1117</v>
      </c>
      <c r="D29" s="10" t="s">
        <v>10</v>
      </c>
      <c r="E29" s="10" t="s">
        <v>109</v>
      </c>
      <c r="F29" s="10" t="s">
        <v>1006</v>
      </c>
      <c r="G29" s="23"/>
    </row>
    <row r="30" customFormat="false" ht="23.85" hidden="false" customHeight="false" outlineLevel="0" collapsed="false">
      <c r="A30" s="10" t="s">
        <v>403</v>
      </c>
      <c r="B30" s="10" t="s">
        <v>1025</v>
      </c>
      <c r="C30" s="10" t="s">
        <v>1117</v>
      </c>
      <c r="D30" s="10" t="s">
        <v>13</v>
      </c>
      <c r="E30" s="10" t="s">
        <v>102</v>
      </c>
      <c r="F30" s="10" t="s">
        <v>1027</v>
      </c>
      <c r="G30" s="23"/>
    </row>
    <row r="31" customFormat="false" ht="23.85" hidden="false" customHeight="false" outlineLevel="0" collapsed="false">
      <c r="A31" s="10" t="s">
        <v>211</v>
      </c>
      <c r="B31" s="10" t="s">
        <v>1049</v>
      </c>
      <c r="C31" s="10" t="s">
        <v>1117</v>
      </c>
      <c r="D31" s="10" t="s">
        <v>150</v>
      </c>
      <c r="E31" s="10" t="s">
        <v>101</v>
      </c>
      <c r="F31" s="10" t="s">
        <v>949</v>
      </c>
      <c r="G31" s="23"/>
    </row>
    <row r="32" customFormat="false" ht="23.85" hidden="false" customHeight="false" outlineLevel="0" collapsed="false">
      <c r="A32" s="10" t="s">
        <v>1068</v>
      </c>
      <c r="B32" s="10" t="s">
        <v>1069</v>
      </c>
      <c r="C32" s="10" t="s">
        <v>1118</v>
      </c>
      <c r="D32" s="10" t="s">
        <v>10</v>
      </c>
      <c r="E32" s="10" t="s">
        <v>109</v>
      </c>
      <c r="F32" s="10" t="s">
        <v>1071</v>
      </c>
      <c r="G32" s="23"/>
    </row>
    <row r="34" customFormat="false" ht="15" hidden="false" customHeight="false" outlineLevel="0" collapsed="false">
      <c r="A34" s="4" t="s">
        <v>1119</v>
      </c>
    </row>
  </sheetData>
  <autoFilter ref="A1:G3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50"/>
  </cols>
  <sheetData>
    <row r="1" customFormat="false" ht="30" hidden="false" customHeight="true" outlineLevel="0" collapsed="false">
      <c r="A1" s="5" t="s">
        <v>1110</v>
      </c>
      <c r="B1" s="5" t="s">
        <v>1120</v>
      </c>
      <c r="C1" s="5" t="s">
        <v>1121</v>
      </c>
    </row>
    <row r="2" customFormat="false" ht="15" hidden="false" customHeight="false" outlineLevel="0" collapsed="false">
      <c r="A2" s="10" t="s">
        <v>10</v>
      </c>
      <c r="B2" s="10" t="s">
        <v>10</v>
      </c>
      <c r="C2" s="10" t="s">
        <v>1122</v>
      </c>
    </row>
    <row r="3" customFormat="false" ht="15" hidden="false" customHeight="false" outlineLevel="0" collapsed="false">
      <c r="A3" s="10" t="s">
        <v>1123</v>
      </c>
      <c r="B3" s="10" t="s">
        <v>10</v>
      </c>
      <c r="C3" s="10" t="s">
        <v>1122</v>
      </c>
    </row>
    <row r="4" customFormat="false" ht="15" hidden="false" customHeight="false" outlineLevel="0" collapsed="false">
      <c r="A4" s="10" t="s">
        <v>13</v>
      </c>
      <c r="B4" s="10" t="s">
        <v>13</v>
      </c>
      <c r="C4" s="10" t="s">
        <v>1122</v>
      </c>
    </row>
    <row r="5" customFormat="false" ht="15" hidden="false" customHeight="false" outlineLevel="0" collapsed="false">
      <c r="A5" s="10" t="s">
        <v>505</v>
      </c>
      <c r="B5" s="10" t="s">
        <v>13</v>
      </c>
      <c r="C5" s="10" t="s">
        <v>1122</v>
      </c>
    </row>
    <row r="6" customFormat="false" ht="15" hidden="false" customHeight="false" outlineLevel="0" collapsed="false">
      <c r="A6" s="10" t="s">
        <v>1124</v>
      </c>
      <c r="B6" s="10" t="s">
        <v>13</v>
      </c>
      <c r="C6" s="10" t="s">
        <v>1122</v>
      </c>
    </row>
    <row r="7" customFormat="false" ht="15" hidden="false" customHeight="false" outlineLevel="0" collapsed="false">
      <c r="A7" s="10" t="s">
        <v>150</v>
      </c>
      <c r="B7" s="10" t="s">
        <v>16</v>
      </c>
      <c r="C7" s="10"/>
    </row>
    <row r="8" customFormat="false" ht="15" hidden="false" customHeight="false" outlineLevel="0" collapsed="false">
      <c r="A8" s="10" t="s">
        <v>138</v>
      </c>
      <c r="B8" s="10" t="s">
        <v>19</v>
      </c>
      <c r="C8" s="10"/>
    </row>
    <row r="9" customFormat="false" ht="15" hidden="false" customHeight="false" outlineLevel="0" collapsed="false">
      <c r="A9" s="10" t="s">
        <v>22</v>
      </c>
      <c r="B9" s="10" t="s">
        <v>22</v>
      </c>
      <c r="C9" s="10"/>
    </row>
    <row r="10" customFormat="false" ht="15" hidden="false" customHeight="false" outlineLevel="0" collapsed="false">
      <c r="A10" s="10" t="s">
        <v>24</v>
      </c>
      <c r="B10" s="10" t="s">
        <v>24</v>
      </c>
      <c r="C10" s="10" t="s">
        <v>1122</v>
      </c>
    </row>
    <row r="11" customFormat="false" ht="15" hidden="false" customHeight="false" outlineLevel="0" collapsed="false">
      <c r="A11" s="10" t="s">
        <v>541</v>
      </c>
      <c r="B11" s="10" t="s">
        <v>24</v>
      </c>
      <c r="C11" s="10" t="s">
        <v>1122</v>
      </c>
    </row>
    <row r="12" customFormat="false" ht="15" hidden="false" customHeight="false" outlineLevel="0" collapsed="false">
      <c r="A12" s="10" t="s">
        <v>812</v>
      </c>
      <c r="B12" s="10" t="s">
        <v>24</v>
      </c>
      <c r="C12" s="10" t="s">
        <v>1122</v>
      </c>
    </row>
    <row r="13" customFormat="false" ht="15" hidden="false" customHeight="false" outlineLevel="0" collapsed="false">
      <c r="A13" s="10" t="s">
        <v>1125</v>
      </c>
      <c r="B13" s="10" t="s">
        <v>24</v>
      </c>
      <c r="C13" s="10" t="s">
        <v>1122</v>
      </c>
    </row>
    <row r="14" customFormat="false" ht="15" hidden="false" customHeight="false" outlineLevel="0" collapsed="false">
      <c r="A14" s="10" t="s">
        <v>745</v>
      </c>
      <c r="B14" s="10" t="s">
        <v>24</v>
      </c>
      <c r="C14" s="10" t="s">
        <v>1122</v>
      </c>
    </row>
    <row r="15" customFormat="false" ht="15" hidden="false" customHeight="false" outlineLevel="0" collapsed="false">
      <c r="A15" s="10" t="s">
        <v>164</v>
      </c>
      <c r="B15" s="10" t="s">
        <v>29</v>
      </c>
      <c r="C15" s="10"/>
    </row>
    <row r="17" customFormat="false" ht="15" hidden="false" customHeight="false" outlineLevel="0" collapsed="false">
      <c r="A17" s="24" t="s">
        <v>1126</v>
      </c>
    </row>
    <row r="18" customFormat="false" ht="30" hidden="false" customHeight="true" outlineLevel="0" collapsed="false">
      <c r="A18" s="5" t="s">
        <v>1127</v>
      </c>
      <c r="B18" s="5" t="s">
        <v>1128</v>
      </c>
      <c r="C18" s="5" t="s">
        <v>1110</v>
      </c>
      <c r="D18" s="5" t="s">
        <v>1129</v>
      </c>
    </row>
    <row r="19" customFormat="false" ht="15" hidden="false" customHeight="false" outlineLevel="0" collapsed="false">
      <c r="A19" s="10" t="s">
        <v>1130</v>
      </c>
      <c r="B19" s="10" t="s">
        <v>1131</v>
      </c>
      <c r="C19" s="10" t="s">
        <v>138</v>
      </c>
      <c r="D19" s="10"/>
    </row>
    <row r="20" customFormat="false" ht="23.85" hidden="false" customHeight="false" outlineLevel="0" collapsed="false">
      <c r="A20" s="10" t="s">
        <v>1130</v>
      </c>
      <c r="B20" s="10" t="s">
        <v>1132</v>
      </c>
      <c r="C20" s="10" t="s">
        <v>150</v>
      </c>
      <c r="D20" s="10"/>
    </row>
    <row r="21" customFormat="false" ht="15" hidden="false" customHeight="false" outlineLevel="0" collapsed="false">
      <c r="A21" s="10" t="s">
        <v>1130</v>
      </c>
      <c r="B21" s="10" t="s">
        <v>1133</v>
      </c>
      <c r="C21" s="10" t="s">
        <v>164</v>
      </c>
      <c r="D21" s="10"/>
    </row>
    <row r="22" customFormat="false" ht="15" hidden="false" customHeight="false" outlineLevel="0" collapsed="false">
      <c r="A22" s="10" t="s">
        <v>1130</v>
      </c>
      <c r="B22" s="10" t="s">
        <v>1134</v>
      </c>
      <c r="C22" s="10" t="s">
        <v>1135</v>
      </c>
      <c r="D22" s="10" t="s">
        <v>1136</v>
      </c>
    </row>
    <row r="23" customFormat="false" ht="23.85" hidden="false" customHeight="false" outlineLevel="0" collapsed="false">
      <c r="A23" s="10" t="s">
        <v>1130</v>
      </c>
      <c r="B23" s="10" t="s">
        <v>1137</v>
      </c>
      <c r="C23" s="10" t="s">
        <v>1138</v>
      </c>
      <c r="D23" s="10" t="s">
        <v>1136</v>
      </c>
    </row>
    <row r="24" customFormat="false" ht="23.85" hidden="false" customHeight="false" outlineLevel="0" collapsed="false">
      <c r="A24" s="10" t="s">
        <v>1139</v>
      </c>
      <c r="B24" s="10" t="s">
        <v>1140</v>
      </c>
      <c r="C24" s="10" t="s">
        <v>1138</v>
      </c>
      <c r="D24" s="10"/>
    </row>
    <row r="25" customFormat="false" ht="23.85" hidden="false" customHeight="false" outlineLevel="0" collapsed="false">
      <c r="A25" s="10" t="s">
        <v>1139</v>
      </c>
      <c r="B25" s="10" t="s">
        <v>1141</v>
      </c>
      <c r="C25" s="10" t="s">
        <v>1135</v>
      </c>
      <c r="D25" s="10" t="s">
        <v>1142</v>
      </c>
    </row>
    <row r="26" customFormat="false" ht="15" hidden="false" customHeight="false" outlineLevel="0" collapsed="false">
      <c r="A26" s="10" t="s">
        <v>1139</v>
      </c>
      <c r="B26" s="10" t="s">
        <v>1143</v>
      </c>
      <c r="C26" s="10" t="s">
        <v>150</v>
      </c>
      <c r="D26" s="10" t="s">
        <v>1144</v>
      </c>
    </row>
    <row r="27" customFormat="false" ht="15" hidden="false" customHeight="false" outlineLevel="0" collapsed="false">
      <c r="A27" s="10" t="s">
        <v>1139</v>
      </c>
      <c r="B27" s="10" t="s">
        <v>1145</v>
      </c>
      <c r="C27" s="10" t="s">
        <v>13</v>
      </c>
      <c r="D27" s="10"/>
    </row>
    <row r="28" customFormat="false" ht="23.85" hidden="false" customHeight="false" outlineLevel="0" collapsed="false">
      <c r="A28" s="10" t="s">
        <v>1139</v>
      </c>
      <c r="B28" s="10" t="s">
        <v>1146</v>
      </c>
      <c r="C28" s="10" t="s">
        <v>505</v>
      </c>
      <c r="D28" s="10" t="s">
        <v>1147</v>
      </c>
    </row>
    <row r="29" customFormat="false" ht="15" hidden="false" customHeight="false" outlineLevel="0" collapsed="false">
      <c r="A29" s="10" t="s">
        <v>1139</v>
      </c>
      <c r="B29" s="10" t="s">
        <v>1148</v>
      </c>
      <c r="C29" s="10" t="s">
        <v>22</v>
      </c>
      <c r="D29" s="10"/>
    </row>
    <row r="30" customFormat="false" ht="15" hidden="false" customHeight="false" outlineLevel="0" collapsed="false">
      <c r="A30" s="10" t="s">
        <v>1139</v>
      </c>
      <c r="B30" s="10" t="s">
        <v>1149</v>
      </c>
      <c r="C30" s="10" t="s">
        <v>164</v>
      </c>
      <c r="D30" s="10"/>
    </row>
    <row r="31" customFormat="false" ht="15" hidden="false" customHeight="false" outlineLevel="0" collapsed="false">
      <c r="A31" s="10" t="s">
        <v>1139</v>
      </c>
      <c r="B31" s="10" t="s">
        <v>1150</v>
      </c>
      <c r="C31" s="10" t="s">
        <v>541</v>
      </c>
      <c r="D31" s="10"/>
    </row>
    <row r="32" customFormat="false" ht="15" hidden="false" customHeight="false" outlineLevel="0" collapsed="false">
      <c r="A32" s="10" t="s">
        <v>1139</v>
      </c>
      <c r="B32" s="10" t="s">
        <v>1151</v>
      </c>
      <c r="C32" s="10" t="s">
        <v>1152</v>
      </c>
      <c r="D32" s="10" t="s">
        <v>1153</v>
      </c>
    </row>
    <row r="33" customFormat="false" ht="15" hidden="false" customHeight="false" outlineLevel="0" collapsed="false">
      <c r="A33" s="10" t="s">
        <v>1154</v>
      </c>
      <c r="B33" s="10" t="s">
        <v>238</v>
      </c>
      <c r="C33" s="10" t="s">
        <v>1155</v>
      </c>
      <c r="D33" s="10" t="s">
        <v>1156</v>
      </c>
    </row>
    <row r="34" customFormat="false" ht="23.85" hidden="false" customHeight="false" outlineLevel="0" collapsed="false">
      <c r="A34" s="10" t="s">
        <v>1154</v>
      </c>
      <c r="B34" s="10" t="s">
        <v>1157</v>
      </c>
      <c r="C34" s="10" t="s">
        <v>13</v>
      </c>
      <c r="D34" s="10"/>
    </row>
    <row r="35" customFormat="false" ht="15" hidden="false" customHeight="false" outlineLevel="0" collapsed="false">
      <c r="A35" s="10" t="s">
        <v>1154</v>
      </c>
      <c r="B35" s="10" t="s">
        <v>471</v>
      </c>
      <c r="C35" s="10" t="s">
        <v>150</v>
      </c>
      <c r="D35" s="10"/>
    </row>
    <row r="36" customFormat="false" ht="46.25" hidden="false" customHeight="false" outlineLevel="0" collapsed="false">
      <c r="A36" s="10" t="s">
        <v>1154</v>
      </c>
      <c r="B36" s="10" t="s">
        <v>143</v>
      </c>
      <c r="C36" s="10" t="s">
        <v>1158</v>
      </c>
      <c r="D36" s="10" t="s">
        <v>1159</v>
      </c>
    </row>
    <row r="37" customFormat="false" ht="15" hidden="false" customHeight="false" outlineLevel="0" collapsed="false">
      <c r="A37" s="10" t="s">
        <v>1154</v>
      </c>
      <c r="B37" s="10" t="s">
        <v>165</v>
      </c>
      <c r="C37" s="10" t="s">
        <v>164</v>
      </c>
      <c r="D37" s="10"/>
    </row>
    <row r="39" customFormat="false" ht="15" hidden="false" customHeight="false" outlineLevel="0" collapsed="false">
      <c r="A39" s="4" t="s">
        <v>1160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2026-10-27T05:02:33Z</dcterms:created>
  <dc:creator>openpyxl</dc:creator>
  <dc:description/>
  <dc:language>en-US</dc:language>
  <cp:lastModifiedBy/>
  <dcterms:modified xsi:type="dcterms:W3CDTF">2026-10-27T05:02:33Z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